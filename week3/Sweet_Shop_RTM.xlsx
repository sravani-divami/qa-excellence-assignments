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RTM (Forward)" sheetId="2" state="visible" r:id="rId4"/>
    <sheet name="Test Case Master" sheetId="3" state="visible" r:id="rId5"/>
    <sheet name="RTM (Reverse)" sheetId="4" state="visible" r:id="rId6"/>
    <sheet name="Execution Log" sheetId="5" state="visible" r:id="rId7"/>
    <sheet name="Coverage Summary" sheetId="6" state="visible" r:id="rId8"/>
    <sheet name="Defect Anchor" sheetId="7" state="visible" r:id="rId9"/>
    <sheet name="Legend" sheetId="8" state="visible" r:id="rId10"/>
  </sheets>
  <definedNames>
    <definedName function="false" hidden="true" localSheetId="4" name="_xlnm._FilterDatabase" vbProcedure="false">'Execution Log'!$A$1:$J$159</definedName>
    <definedName function="false" hidden="true" localSheetId="1" name="_xlnm._FilterDatabase" vbProcedure="false">'RTM (Forward)'!$A$1:$R$28</definedName>
    <definedName function="false" hidden="true" localSheetId="3" name="_xlnm._FilterDatabase" vbProcedure="false">'RTM (Reverse)'!$A$1:$F$159</definedName>
    <definedName function="false" hidden="true" localSheetId="2" name="_xlnm._FilterDatabase" vbProcedure="false">'Test Case Master'!$A$1:$H$159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<sst xmlns="http://schemas.openxmlformats.org/spreadsheetml/2006/main" count="3555" uniqueCount="830">
  <si>
    <t xml:space="preserve">Sweet Shop</t>
  </si>
  <si>
    <t xml:space="preserve">Requirements Traceability Matrix</t>
  </si>
  <si>
    <t xml:space="preserve">Document Version:</t>
  </si>
  <si>
    <t xml:space="preserve">1.0</t>
  </si>
  <si>
    <t xml:space="preserve">Status:</t>
  </si>
  <si>
    <t xml:space="preserve">Draft for Review</t>
  </si>
  <si>
    <t xml:space="preserve">Date:</t>
  </si>
  <si>
    <t xml:space="preserve">April 2026</t>
  </si>
  <si>
    <t xml:space="preserve">Application URL:</t>
  </si>
  <si>
    <t xml:space="preserve">https://sweetshop.netlify.app</t>
  </si>
  <si>
    <t xml:space="preserve">Reference:</t>
  </si>
  <si>
    <t xml:space="preserve">Product Specification v2.0</t>
  </si>
  <si>
    <t xml:space="preserve">Derives from:</t>
  </si>
  <si>
    <t xml:space="preserve">Test Strategy v1.0 + Test Plan v1.0 + Test Cases v3.0</t>
  </si>
  <si>
    <t xml:space="preserve">Purpose</t>
  </si>
  <si>
    <t xml:space="preserve">This Requirements Traceability Matrix (RTM) provides bidirectional traceability between every documented requirement (FR-01 to FR-18 and NFR-01 to NFR-08) from the Product Specification v2.0 and the test cases that verify it. It is the single auditable artifact that proves no requirement is left untested and no test case is orphaned from a documented requirement.</t>
  </si>
  <si>
    <t xml:space="preserve">Sheets in this Workbook</t>
  </si>
  <si>
    <t xml:space="preserve">Sheet</t>
  </si>
  <si>
    <t xml:space="preserve">Description</t>
  </si>
  <si>
    <t xml:space="preserve">1. Cover</t>
  </si>
  <si>
    <t xml:space="preserve">This sheet — purpose, version, sheet index</t>
  </si>
  <si>
    <t xml:space="preserve">2. RTM (Forward)</t>
  </si>
  <si>
    <t xml:space="preserve">Requirement → Test Cases. The classic forward traceability view. Every FR/NFR mapped to its test cases with execution status.</t>
  </si>
  <si>
    <t xml:space="preserve">3. RTM (Reverse)</t>
  </si>
  <si>
    <t xml:space="preserve">Test Case → Requirements. Reverse traceability — proves no orphan test cases.</t>
  </si>
  <si>
    <t xml:space="preserve">4. Coverage Summary</t>
  </si>
  <si>
    <t xml:space="preserve">Counts and percentages: requirements covered, cases per priority, automation breakdown, status dashboard.</t>
  </si>
  <si>
    <t xml:space="preserve">5. Test Case Master</t>
  </si>
  <si>
    <t xml:space="preserve">Full list of all 158 test cases with their attributes, used as the data source by the other sheets.</t>
  </si>
  <si>
    <t xml:space="preserve">6. Defect Anchor</t>
  </si>
  <si>
    <t xml:space="preserve">Empty placeholder sheet for defect IDs raised against requirements during execution. Populated as defects are logged.</t>
  </si>
  <si>
    <t xml:space="preserve">7. Execution Log</t>
  </si>
  <si>
    <t xml:space="preserve">Per-case execution status entry sheet — testers update Pass/Fail/Blocked here during the cycle.</t>
  </si>
  <si>
    <t xml:space="preserve">8. Legend</t>
  </si>
  <si>
    <t xml:space="preserve">Definitions for priority, automation tag, status values.</t>
  </si>
  <si>
    <t xml:space="preserve">Req ID</t>
  </si>
  <si>
    <t xml:space="preserve">Type</t>
  </si>
  <si>
    <t xml:space="preserve">Category</t>
  </si>
  <si>
    <t xml:space="preserve">Requirement</t>
  </si>
  <si>
    <t xml:space="preserve">Spec Reference</t>
  </si>
  <si>
    <t xml:space="preserve">Test Scenario</t>
  </si>
  <si>
    <t xml:space="preserve">Test Case IDs</t>
  </si>
  <si>
    <t xml:space="preserve">TC Count</t>
  </si>
  <si>
    <t xml:space="preserve">P0</t>
  </si>
  <si>
    <t xml:space="preserve">P1</t>
  </si>
  <si>
    <t xml:space="preserve">P2</t>
  </si>
  <si>
    <t xml:space="preserve">P3</t>
  </si>
  <si>
    <t xml:space="preserve">Executed</t>
  </si>
  <si>
    <t xml:space="preserve">Passed</t>
  </si>
  <si>
    <t xml:space="preserve">Failed</t>
  </si>
  <si>
    <t xml:space="preserve">Blocked</t>
  </si>
  <si>
    <t xml:space="preserve">Coverage Status</t>
  </si>
  <si>
    <t xml:space="preserve">Defects (count)</t>
  </si>
  <si>
    <t xml:space="preserve">FR-01</t>
  </si>
  <si>
    <t xml:space="preserve">Functional</t>
  </si>
  <si>
    <t xml:space="preserve">Product Browsing</t>
  </si>
  <si>
    <t xml:space="preserve">Users shall be able to view all 16 products on the Browse Sweets page</t>
  </si>
  <si>
    <t xml:space="preserve">Spec §11.1, §4.2</t>
  </si>
  <si>
    <t xml:space="preserve">Browse Sweets — Catalogue Rendering</t>
  </si>
  <si>
    <t xml:space="preserve">TC-020, TC-021, TC-022, TC-023, TC-024, TC-025, TC-026</t>
  </si>
  <si>
    <t xml:space="preserve">Covered</t>
  </si>
  <si>
    <t xml:space="preserve">FR-02</t>
  </si>
  <si>
    <t xml:space="preserve">Each product shall display image, name, description, price, Add to Basket button</t>
  </si>
  <si>
    <t xml:space="preserve">Product Card Structure</t>
  </si>
  <si>
    <t xml:space="preserve">TC-021, TC-022, TC-024, TC-025, TC-026</t>
  </si>
  <si>
    <t xml:space="preserve">FR-03</t>
  </si>
  <si>
    <t xml:space="preserve">The homepage shall display a curated Most Popular section of 4 products</t>
  </si>
  <si>
    <t xml:space="preserve">Spec §11.1, §4.1</t>
  </si>
  <si>
    <t xml:space="preserve">Home — Most Popular Section</t>
  </si>
  <si>
    <t xml:space="preserve">TC-010, TC-011, TC-012, TC-013</t>
  </si>
  <si>
    <t xml:space="preserve">FR-04</t>
  </si>
  <si>
    <t xml:space="preserve">Basket / Cart</t>
  </si>
  <si>
    <t xml:space="preserve">Users shall be able to add products from both Home and Browse Sweets pages</t>
  </si>
  <si>
    <t xml:space="preserve">Spec §11.2, §4.2.4</t>
  </si>
  <si>
    <t xml:space="preserve">Add to Basket — Multi-source</t>
  </si>
  <si>
    <t xml:space="preserve">TC-030, TC-031, TC-033, TC-034, TC-035, TC-036, TC-037, TC-038</t>
  </si>
  <si>
    <t xml:space="preserve">FR-05</t>
  </si>
  <si>
    <t xml:space="preserve">The basket item count in the navbar shall update in real-time</t>
  </si>
  <si>
    <t xml:space="preserve">Spec §11.2, §3.1</t>
  </si>
  <si>
    <t xml:space="preserve">Navbar Basket Counter</t>
  </si>
  <si>
    <t xml:space="preserve">TC-007, TC-008, TC-030, TC-031, TC-032, TC-034, TC-050, TC-217</t>
  </si>
  <si>
    <t xml:space="preserve">FR-06</t>
  </si>
  <si>
    <t xml:space="preserve">Users shall be able to empty the basket via Empty Basket control</t>
  </si>
  <si>
    <t xml:space="preserve">Spec §11.2, §4.3.4</t>
  </si>
  <si>
    <t xml:space="preserve">Empty Basket Flow</t>
  </si>
  <si>
    <t xml:space="preserve">TC-050, TC-051, TC-078, TC-094, TC-169</t>
  </si>
  <si>
    <t xml:space="preserve">FR-07</t>
  </si>
  <si>
    <t xml:space="preserve">Users shall be able to select a delivery method (Collect or Standard Shipping)</t>
  </si>
  <si>
    <t xml:space="preserve">Spec §11.2, §4.3.3</t>
  </si>
  <si>
    <t xml:space="preserve">Delivery Selection</t>
  </si>
  <si>
    <t xml:space="preserve">TC-060, TC-061, TC-062, TC-063, TC-064, TC-091</t>
  </si>
  <si>
    <t xml:space="preserve">FR-08</t>
  </si>
  <si>
    <t xml:space="preserve">Users shall be able to enter and attempt to redeem a promotional code</t>
  </si>
  <si>
    <t xml:space="preserve">Promo Code Redemption</t>
  </si>
  <si>
    <t xml:space="preserve">TC-070, TC-071, TC-072, TC-073, TC-074, TC-075, TC-076, TC-077, TC-078, TC-079</t>
  </si>
  <si>
    <t xml:space="preserve">FR-09</t>
  </si>
  <si>
    <t xml:space="preserve">The basket shall display the current item list and count dynamically</t>
  </si>
  <si>
    <t xml:space="preserve">Spec §11.2, §4.3.2</t>
  </si>
  <si>
    <t xml:space="preserve">Basket Display &amp; Subtotal</t>
  </si>
  <si>
    <t xml:space="preserve">TC-041, TC-042, TC-043, TC-044, TC-045, TC-080, TC-081, TC-082, TC-083, TC-084, TC-086, TC-087, TC-088, TC-091, TC-092, TC-093, TC-094, TC-095, TC-096</t>
  </si>
  <si>
    <t xml:space="preserve">FR-10</t>
  </si>
  <si>
    <t xml:space="preserve">The order total shall update dynamically when delivery option changes</t>
  </si>
  <si>
    <t xml:space="preserve">Spec §11.2, §5.7</t>
  </si>
  <si>
    <t xml:space="preserve">Order Total Recalculation</t>
  </si>
  <si>
    <t xml:space="preserve">TC-043, TC-061, TC-062, TC-079, TC-080, TC-081, TC-083, TC-085, TC-089, TC-090, TC-095, TC-096</t>
  </si>
  <si>
    <t xml:space="preserve">FR-11</t>
  </si>
  <si>
    <t xml:space="preserve">Checkout</t>
  </si>
  <si>
    <t xml:space="preserve">Users shall fill in a billing address form with field-level validation</t>
  </si>
  <si>
    <t xml:space="preserve">Spec §11.3, §4.3.5</t>
  </si>
  <si>
    <t xml:space="preserve">Billing Form Validation</t>
  </si>
  <si>
    <t xml:space="preserve">TC-110, TC-111, TC-112, TC-113, TC-114, TC-115, TC-116, TC-117, TC-118, TC-119, TC-120, TC-121, TC-122, TC-123</t>
  </si>
  <si>
    <t xml:space="preserve">FR-12</t>
  </si>
  <si>
    <t xml:space="preserve">Users shall fill in a payment details form with field-level validation</t>
  </si>
  <si>
    <t xml:space="preserve">Spec §11.3, §4.3.6</t>
  </si>
  <si>
    <t xml:space="preserve">Payment Form Validation</t>
  </si>
  <si>
    <t xml:space="preserve">TC-130, TC-131, TC-132, TC-133, TC-134, TC-135, TC-136, TC-137, TC-138</t>
  </si>
  <si>
    <t xml:space="preserve">FR-13</t>
  </si>
  <si>
    <t xml:space="preserve">Continue to checkout shall trigger full form validation</t>
  </si>
  <si>
    <t xml:space="preserve">Spec §11.3, §4.3.7</t>
  </si>
  <si>
    <t xml:space="preserve">Checkout Submission</t>
  </si>
  <si>
    <t xml:space="preserve">TC-111, TC-140, TC-141, TC-142, TC-143, TC-144, TC-145, TC-146</t>
  </si>
  <si>
    <t xml:space="preserve">FR-14</t>
  </si>
  <si>
    <t xml:space="preserve">Authentication</t>
  </si>
  <si>
    <t xml:space="preserve">Users shall be able to attempt login with email and password</t>
  </si>
  <si>
    <t xml:space="preserve">Spec §11.4, §4.4</t>
  </si>
  <si>
    <t xml:space="preserve">Login Form &amp; Validation</t>
  </si>
  <si>
    <t xml:space="preserve">TC-100, TC-101, TC-102, TC-103, TC-104, TC-106, TC-107, TC-108</t>
  </si>
  <si>
    <t xml:space="preserve">FR-15</t>
  </si>
  <si>
    <t xml:space="preserve">Social login link icons shall be displayed on the Login page</t>
  </si>
  <si>
    <t xml:space="preserve">Spec §11.4, §4.4.3</t>
  </si>
  <si>
    <t xml:space="preserve">Social Login Display</t>
  </si>
  <si>
    <t xml:space="preserve">TC-230</t>
  </si>
  <si>
    <t xml:space="preserve">FR-16</t>
  </si>
  <si>
    <t xml:space="preserve">Navigation</t>
  </si>
  <si>
    <t xml:space="preserve">A persistent navigation bar shall be present on all pages</t>
  </si>
  <si>
    <t xml:space="preserve">Spec §11.5, §3.1</t>
  </si>
  <si>
    <t xml:space="preserve">Persistent Navbar</t>
  </si>
  <si>
    <t xml:space="preserve">TC-001, TC-002, TC-005, TC-008, TC-009, TC-245</t>
  </si>
  <si>
    <t xml:space="preserve">FR-17</t>
  </si>
  <si>
    <t xml:space="preserve">The active page shall be visually indicated in the navbar</t>
  </si>
  <si>
    <t xml:space="preserve">Active Page Indicator</t>
  </si>
  <si>
    <t xml:space="preserve">TC-003</t>
  </si>
  <si>
    <t xml:space="preserve">FR-18</t>
  </si>
  <si>
    <t xml:space="preserve">The logo shall link back to the homepage from all pages</t>
  </si>
  <si>
    <t xml:space="preserve">Logo Home Link</t>
  </si>
  <si>
    <t xml:space="preserve">TC-002, TC-004</t>
  </si>
  <si>
    <t xml:space="preserve">NFR-01</t>
  </si>
  <si>
    <t xml:space="preserve">Non-Functional</t>
  </si>
  <si>
    <t xml:space="preserve">Usability</t>
  </si>
  <si>
    <t xml:space="preserve">All forms shall display inline validation error messages</t>
  </si>
  <si>
    <t xml:space="preserve">Spec §12.1</t>
  </si>
  <si>
    <t xml:space="preserve">Inline Error Messages</t>
  </si>
  <si>
    <t xml:space="preserve">TC-070, TC-101, TC-111, TC-140, TC-143</t>
  </si>
  <si>
    <t xml:space="preserve">NFR-02</t>
  </si>
  <si>
    <t xml:space="preserve">The application shall be fully navigable without requiring login</t>
  </si>
  <si>
    <t xml:space="preserve">Spec §12.1, §14.5</t>
  </si>
  <si>
    <t xml:space="preserve">Open Navigation (No Auth)</t>
  </si>
  <si>
    <t xml:space="preserve">TC-001, TC-170, TC-206</t>
  </si>
  <si>
    <t xml:space="preserve">NFR-03</t>
  </si>
  <si>
    <t xml:space="preserve">Validation messages shall be displayed adjacent to the field that triggered them</t>
  </si>
  <si>
    <t xml:space="preserve">Spec §12.1, §5.3</t>
  </si>
  <si>
    <t xml:space="preserve">Error-Field Adjacency</t>
  </si>
  <si>
    <t xml:space="preserve">TC-143</t>
  </si>
  <si>
    <t xml:space="preserve">NFR-04</t>
  </si>
  <si>
    <t xml:space="preserve">Compatibility</t>
  </si>
  <si>
    <t xml:space="preserve">The application is primarily designed for Google Chrome</t>
  </si>
  <si>
    <t xml:space="preserve">Spec §12.2</t>
  </si>
  <si>
    <t xml:space="preserve">Chrome Compatibility</t>
  </si>
  <si>
    <t xml:space="preserve">TC-180, TC-181, TC-240, TC-241</t>
  </si>
  <si>
    <t xml:space="preserve">NFR-05</t>
  </si>
  <si>
    <t xml:space="preserve">Basic functionality verified in Firefox and Safari</t>
  </si>
  <si>
    <t xml:space="preserve">Firefox + Safari Compatibility</t>
  </si>
  <si>
    <t xml:space="preserve">TC-180, TC-181</t>
  </si>
  <si>
    <t xml:space="preserve">NFR-06</t>
  </si>
  <si>
    <t xml:space="preserve">Accessibility</t>
  </si>
  <si>
    <t xml:space="preserve">Product images shall include descriptive alt text</t>
  </si>
  <si>
    <t xml:space="preserve">Spec §12.3</t>
  </si>
  <si>
    <t xml:space="preserve">Image Alt Text</t>
  </si>
  <si>
    <t xml:space="preserve">TC-210, TC-213, TC-215</t>
  </si>
  <si>
    <t xml:space="preserve">NFR-07</t>
  </si>
  <si>
    <t xml:space="preserve">Form inputs shall be associated with visible labels</t>
  </si>
  <si>
    <t xml:space="preserve">Form Label Association</t>
  </si>
  <si>
    <t xml:space="preserve">TC-121, TC-122, TC-145, TC-211, TC-213, TC-214, TC-216</t>
  </si>
  <si>
    <t xml:space="preserve">NFR-08</t>
  </si>
  <si>
    <t xml:space="preserve">Error messages shall be programmatically associated with their fields</t>
  </si>
  <si>
    <t xml:space="preserve">Error-Field A11y Association</t>
  </si>
  <si>
    <t xml:space="preserve">TC-212, TC-213, TC-217</t>
  </si>
  <si>
    <t xml:space="preserve">TOTAL</t>
  </si>
  <si>
    <t xml:space="preserve">TC ID</t>
  </si>
  <si>
    <t xml:space="preserve">Module</t>
  </si>
  <si>
    <t xml:space="preserve">Title</t>
  </si>
  <si>
    <t xml:space="preserve">Priority</t>
  </si>
  <si>
    <t xml:space="preserve">Automation</t>
  </si>
  <si>
    <t xml:space="preserve">Requirements</t>
  </si>
  <si>
    <t xml:space="preserve">Defect Hint If Fails</t>
  </si>
  <si>
    <t xml:space="preserve">TC-001</t>
  </si>
  <si>
    <t xml:space="preserve">Verify all 5 pages load successfully via direct URL</t>
  </si>
  <si>
    <t xml:space="preserve">Smoke</t>
  </si>
  <si>
    <t xml:space="preserve">Page-load failure / routing bug / broken build</t>
  </si>
  <si>
    <t xml:space="preserve">TC-002</t>
  </si>
  <si>
    <t xml:space="preserve">Verify navbar links navigate to correct pages</t>
  </si>
  <si>
    <t xml:space="preserve">FR-16, FR-18</t>
  </si>
  <si>
    <t xml:space="preserve">Routing / navbar link bug</t>
  </si>
  <si>
    <t xml:space="preserve">Verify navbar active-state highlight reflects current page</t>
  </si>
  <si>
    <t xml:space="preserve">UI</t>
  </si>
  <si>
    <t xml:space="preserve">Regression</t>
  </si>
  <si>
    <t xml:space="preserve">CSS / active-state bug</t>
  </si>
  <si>
    <t xml:space="preserve">TC-004</t>
  </si>
  <si>
    <t xml:space="preserve">Verify logo from any page returns user to home</t>
  </si>
  <si>
    <t xml:space="preserve">Logo link broken / wrong href</t>
  </si>
  <si>
    <t xml:space="preserve">TC-005</t>
  </si>
  <si>
    <t xml:space="preserve">Verify footer is present on all pages with correct copyright</t>
  </si>
  <si>
    <t xml:space="preserve">—</t>
  </si>
  <si>
    <t xml:space="preserve">Footer template missing / wrong text</t>
  </si>
  <si>
    <t xml:space="preserve">TC-006</t>
  </si>
  <si>
    <t xml:space="preserve">Verify intentional broken /bout link is observable on Basket page</t>
  </si>
  <si>
    <t xml:space="preserve">Manual</t>
  </si>
  <si>
    <t xml:space="preserve">Spec §17 (KI-1)</t>
  </si>
  <si>
    <t xml:space="preserve">Documented intentional bug (KI-1) — verification only, NOT a real defect</t>
  </si>
  <si>
    <t xml:space="preserve">TC-007</t>
  </si>
  <si>
    <t xml:space="preserve">Verify navbar displays basket item count badge</t>
  </si>
  <si>
    <t xml:space="preserve">Basket counter not bound to state / live update broken</t>
  </si>
  <si>
    <t xml:space="preserve">TC-008</t>
  </si>
  <si>
    <t xml:space="preserve">Verify navbar basket count badge handles large numbers (10, 99, 100+)</t>
  </si>
  <si>
    <t xml:space="preserve">Boundary</t>
  </si>
  <si>
    <t xml:space="preserve">Layout regression — counter overflow / navbar wrapping</t>
  </si>
  <si>
    <t xml:space="preserve">TC-009</t>
  </si>
  <si>
    <t xml:space="preserve">Verify navbar position behaviour on long page scroll</t>
  </si>
  <si>
    <t xml:space="preserve">Sticky-header CSS regression / scroll behaviour bug</t>
  </si>
  <si>
    <t xml:space="preserve">TC-010</t>
  </si>
  <si>
    <t xml:space="preserve">Home</t>
  </si>
  <si>
    <t xml:space="preserve">Verify home page hero banner renders with correct title and tagline</t>
  </si>
  <si>
    <t xml:space="preserve">Hero asset missing / template content drift</t>
  </si>
  <si>
    <t xml:space="preserve">TC-011</t>
  </si>
  <si>
    <t xml:space="preserve">Verify Browse Sweets CTA navigates to /sweets</t>
  </si>
  <si>
    <t xml:space="preserve">CTA link broken or wrong target URL</t>
  </si>
  <si>
    <t xml:space="preserve">TC-012</t>
  </si>
  <si>
    <t xml:space="preserve">Verify promotional banner displays 20% Off message</t>
  </si>
  <si>
    <t xml:space="preserve">Promo banner content drift / hidden by CSS</t>
  </si>
  <si>
    <t xml:space="preserve">TC-013</t>
  </si>
  <si>
    <t xml:space="preserve">Verify Most Popular section renders 4 featured products</t>
  </si>
  <si>
    <t xml:space="preserve">Featured-products data wrong / curated list mis-configured</t>
  </si>
  <si>
    <t xml:space="preserve">TC-020</t>
  </si>
  <si>
    <t xml:space="preserve">Browse Sweets</t>
  </si>
  <si>
    <t xml:space="preserve">Verify Browse Sweets page header renders correctly</t>
  </si>
  <si>
    <t xml:space="preserve">Static page text drift</t>
  </si>
  <si>
    <t xml:space="preserve">TC-021</t>
  </si>
  <si>
    <t xml:space="preserve">Verify all 16 products render on /sweets (parameterised)</t>
  </si>
  <si>
    <t xml:space="preserve">FR-01, FR-02</t>
  </si>
  <si>
    <t xml:space="preserve">Catalogue data mismatch with spec / image broken / layout regression</t>
  </si>
  <si>
    <t xml:space="preserve">TC-022</t>
  </si>
  <si>
    <t xml:space="preserve">Verify product prices conform to documented price range</t>
  </si>
  <si>
    <t xml:space="preserve">Currency formatting bug / data drift</t>
  </si>
  <si>
    <t xml:space="preserve">TC-023</t>
  </si>
  <si>
    <t xml:space="preserve">Verify product cards render in the documented spec order</t>
  </si>
  <si>
    <t xml:space="preserve">Catalogue order configuration drift</t>
  </si>
  <si>
    <t xml:space="preserve">TC-024</t>
  </si>
  <si>
    <t xml:space="preserve">Verify long product descriptions wrap and render within card bounds</t>
  </si>
  <si>
    <t xml:space="preserve">CSS overflow / text-clipping bug on long descriptions</t>
  </si>
  <si>
    <t xml:space="preserve">TC-025</t>
  </si>
  <si>
    <t xml:space="preserve">Verify product card layout consistency (all 16 cards same dimensions)</t>
  </si>
  <si>
    <t xml:space="preserve">CSS grid layout inconsistency / card-height misalignment</t>
  </si>
  <si>
    <t xml:space="preserve">TC-026</t>
  </si>
  <si>
    <t xml:space="preserve">Verify broken-image behaviour for product cards</t>
  </si>
  <si>
    <t xml:space="preserve">Negative</t>
  </si>
  <si>
    <t xml:space="preserve">Missing image fallback / card collapses on broken image</t>
  </si>
  <si>
    <t xml:space="preserve">TC-030</t>
  </si>
  <si>
    <t xml:space="preserve">Add to Basket</t>
  </si>
  <si>
    <t xml:space="preserve">Verify Add to Basket from /sweets increments navbar count</t>
  </si>
  <si>
    <t xml:space="preserve">FR-04, FR-05</t>
  </si>
  <si>
    <t xml:space="preserve">Add-to-basket handler broken / counter not bound</t>
  </si>
  <si>
    <t xml:space="preserve">TC-031</t>
  </si>
  <si>
    <t xml:space="preserve">Verify Add to Basket from Home page Most Popular section</t>
  </si>
  <si>
    <t xml:space="preserve">Add-to-basket from Home not wired / counter not updated</t>
  </si>
  <si>
    <t xml:space="preserve">TC-032</t>
  </si>
  <si>
    <t xml:space="preserve">Verify adding multiple different products updates count correctly</t>
  </si>
  <si>
    <t xml:space="preserve">Counter aggregation bug / state mutation issue</t>
  </si>
  <si>
    <t xml:space="preserve">TC-033</t>
  </si>
  <si>
    <t xml:space="preserve">Verify adding same product multiple times increments quantity (not duplicate line)</t>
  </si>
  <si>
    <t xml:space="preserve">Quantity merge bug — duplicate line items instead of qty++</t>
  </si>
  <si>
    <t xml:space="preserve">TC-034</t>
  </si>
  <si>
    <t xml:space="preserve">Verify Add to Basket persists across navigation</t>
  </si>
  <si>
    <t xml:space="preserve">Persistence</t>
  </si>
  <si>
    <t xml:space="preserve">State persistence broken (in-memory only / wrong storage scope)</t>
  </si>
  <si>
    <t xml:space="preserve">TC-035</t>
  </si>
  <si>
    <t xml:space="preserve">Verify rapid double-click on Add to Basket adds expected number of items</t>
  </si>
  <si>
    <t xml:space="preserve">Click debounce or double-handler bug</t>
  </si>
  <si>
    <t xml:space="preserve">TC-036</t>
  </si>
  <si>
    <t xml:space="preserve">Verify no network request is generated on Add to Basket</t>
  </si>
  <si>
    <t xml:space="preserve">Security</t>
  </si>
  <si>
    <t xml:space="preserve">Unintended network call / accidental telemetry</t>
  </si>
  <si>
    <t xml:space="preserve">TC-037</t>
  </si>
  <si>
    <t xml:space="preserve">Verify Add to Basket button remains active after each click</t>
  </si>
  <si>
    <t xml:space="preserve">Button gets disabled / loses event handler</t>
  </si>
  <si>
    <t xml:space="preserve">TC-038</t>
  </si>
  <si>
    <t xml:space="preserve">Verify Add to Basket from Most Popular and Browse Sweets adds the SAME product to one line</t>
  </si>
  <si>
    <t xml:space="preserve">Same-product-different-source treated as different items (duplicate-line bug)</t>
  </si>
  <si>
    <t xml:space="preserve">TC-040</t>
  </si>
  <si>
    <t xml:space="preserve">Basket Page</t>
  </si>
  <si>
    <t xml:space="preserve">Verify Basket page header renders correctly</t>
  </si>
  <si>
    <t xml:space="preserve">Static text drift on basket page</t>
  </si>
  <si>
    <t xml:space="preserve">TC-041</t>
  </si>
  <si>
    <t xml:space="preserve">Verify empty basket state on /basket</t>
  </si>
  <si>
    <t xml:space="preserve">Empty-basket render bug / null-state crash</t>
  </si>
  <si>
    <t xml:space="preserve">TC-042</t>
  </si>
  <si>
    <t xml:space="preserve">Verify basket page lists added items with quantities</t>
  </si>
  <si>
    <t xml:space="preserve">Basket-state-to-UI render bug / wrong product binding</t>
  </si>
  <si>
    <t xml:space="preserve">TC-043</t>
  </si>
  <si>
    <t xml:space="preserve">Verify subtotal on basket page equals sum of line subtotals</t>
  </si>
  <si>
    <t xml:space="preserve">FR-09, FR-10</t>
  </si>
  <si>
    <t xml:space="preserve">Subtotal calculation bug / aggregation off</t>
  </si>
  <si>
    <t xml:space="preserve">TC-044</t>
  </si>
  <si>
    <t xml:space="preserve">Verify basket line items maintain order across navigation and refresh</t>
  </si>
  <si>
    <t xml:space="preserve">Non-deterministic line ordering / state shuffles</t>
  </si>
  <si>
    <t xml:space="preserve">TC-045</t>
  </si>
  <si>
    <t xml:space="preserve">Verify basket shows line-level subtotal for multi-quantity items</t>
  </si>
  <si>
    <t xml:space="preserve">Quantity / line-total display bug</t>
  </si>
  <si>
    <t xml:space="preserve">TC-050</t>
  </si>
  <si>
    <t xml:space="preserve">Empty Basket</t>
  </si>
  <si>
    <t xml:space="preserve">Verify Empty Basket clears all items and resets count to 0</t>
  </si>
  <si>
    <t xml:space="preserve">Empty Basket handler not wired / state not cleared</t>
  </si>
  <si>
    <t xml:space="preserve">TC-051</t>
  </si>
  <si>
    <t xml:space="preserve">Verify Empty Basket on already-empty basket has no negative effect</t>
  </si>
  <si>
    <t xml:space="preserve">Null-state crash on empty-empty action</t>
  </si>
  <si>
    <t xml:space="preserve">TC-060</t>
  </si>
  <si>
    <t xml:space="preserve">Delivery</t>
  </si>
  <si>
    <t xml:space="preserve">Verify default delivery selection is Collect (FREE)</t>
  </si>
  <si>
    <t xml:space="preserve">Default selection wrong / radio not pre-checked</t>
  </si>
  <si>
    <t xml:space="preserve">TC-061</t>
  </si>
  <si>
    <t xml:space="preserve">Verify selecting Standard Shipping adds £1.99 to order total</t>
  </si>
  <si>
    <t xml:space="preserve">FR-07, FR-10</t>
  </si>
  <si>
    <t xml:space="preserve">Delivery charge math wrong / total not updating</t>
  </si>
  <si>
    <t xml:space="preserve">TC-062</t>
  </si>
  <si>
    <t xml:space="preserve">Verify switching back to Collect removes the £1.99 charge</t>
  </si>
  <si>
    <t xml:space="preserve">Reverse-toggle bug — charge sticks after switch back</t>
  </si>
  <si>
    <t xml:space="preserve">TC-063</t>
  </si>
  <si>
    <t xml:space="preserve">Verify only one delivery option can be selected at a time (radio behaviour)</t>
  </si>
  <si>
    <t xml:space="preserve">Radio group bug — both can be selected simultaneously</t>
  </si>
  <si>
    <t xml:space="preserve">TC-064</t>
  </si>
  <si>
    <t xml:space="preserve">Verify delivery option selection persists across navigation</t>
  </si>
  <si>
    <t xml:space="preserve">FR-07, Spec §5.1</t>
  </si>
  <si>
    <t xml:space="preserve">Delivery selection lost on navigation (state scope bug)</t>
  </si>
  <si>
    <t xml:space="preserve">TC-070</t>
  </si>
  <si>
    <t xml:space="preserve">Promo Code</t>
  </si>
  <si>
    <t xml:space="preserve">Verify invalid promo code triggers documented error message</t>
  </si>
  <si>
    <t xml:space="preserve">Promo validation bug / wrong error message</t>
  </si>
  <si>
    <t xml:space="preserve">TC-071</t>
  </si>
  <si>
    <t xml:space="preserve">Verify clicking Redeem with empty promo code field</t>
  </si>
  <si>
    <t xml:space="preserve">Empty-input edge case crash / no validation</t>
  </si>
  <si>
    <t xml:space="preserve">TC-072</t>
  </si>
  <si>
    <t xml:space="preserve">Verify whitespace-only promo code is treated as invalid</t>
  </si>
  <si>
    <t xml:space="preserve">Trim() missing / whitespace accepted as valid</t>
  </si>
  <si>
    <t xml:space="preserve">TC-073</t>
  </si>
  <si>
    <t xml:space="preserve">Verify promo code field is case-sensitivity behaviour</t>
  </si>
  <si>
    <t xml:space="preserve">Case-sensitivity inconsistency</t>
  </si>
  <si>
    <t xml:space="preserve">TC-074</t>
  </si>
  <si>
    <t xml:space="preserve">Verify long promo code string does not crash UI</t>
  </si>
  <si>
    <t xml:space="preserve">Long-input layout break / no max-length</t>
  </si>
  <si>
    <t xml:space="preserve">TC-075</t>
  </si>
  <si>
    <t xml:space="preserve">Verify special characters in promo code field</t>
  </si>
  <si>
    <t xml:space="preserve">Special-char handling / potential XSS hint</t>
  </si>
  <si>
    <t xml:space="preserve">TC-076</t>
  </si>
  <si>
    <t xml:space="preserve">Verify valid promo code applies discount (TBD — code to be discovered)</t>
  </si>
  <si>
    <t xml:space="preserve">Promo discount logic bug / wrong amount</t>
  </si>
  <si>
    <t xml:space="preserve">TC-077</t>
  </si>
  <si>
    <t xml:space="preserve">Verify promo code can be applied with empty basket</t>
  </si>
  <si>
    <t xml:space="preserve">Empty-basket + promo crash / negative total</t>
  </si>
  <si>
    <t xml:space="preserve">TC-078</t>
  </si>
  <si>
    <t xml:space="preserve">Verify promo discount behaviour after Empty Basket</t>
  </si>
  <si>
    <t xml:space="preserve">FR-06, FR-08</t>
  </si>
  <si>
    <t xml:space="preserve">Promo state leak after Empty Basket / inconsistent behaviour</t>
  </si>
  <si>
    <t xml:space="preserve">TC-079</t>
  </si>
  <si>
    <t xml:space="preserve">Verify promo + delivery interaction (discount applies to subtotal only or total?)</t>
  </si>
  <si>
    <t xml:space="preserve">FR-08, FR-10, Spec §6.1</t>
  </si>
  <si>
    <t xml:space="preserve">Promo discount applied to delivery — diverges from Spec §6.1 formula</t>
  </si>
  <si>
    <t xml:space="preserve">TC-080</t>
  </si>
  <si>
    <t xml:space="preserve">Calculation</t>
  </si>
  <si>
    <t xml:space="preserve">Verify subtotal for single low-price item (£0.10)</t>
  </si>
  <si>
    <t xml:space="preserve">Single-item subtotal calc bug</t>
  </si>
  <si>
    <t xml:space="preserve">TC-081</t>
  </si>
  <si>
    <t xml:space="preserve">Verify subtotal + Standard Shipping for two items</t>
  </si>
  <si>
    <t xml:space="preserve">Multi-item + delivery aggregation bug</t>
  </si>
  <si>
    <t xml:space="preserve">TC-082</t>
  </si>
  <si>
    <t xml:space="preserve">Verify quantity multiplication for same-product line</t>
  </si>
  <si>
    <t xml:space="preserve">Quantity multiplication bug</t>
  </si>
  <si>
    <t xml:space="preserve">TC-083</t>
  </si>
  <si>
    <t xml:space="preserve">Verify single item with Standard Shipping</t>
  </si>
  <si>
    <t xml:space="preserve">Single item + delivery math bug</t>
  </si>
  <si>
    <t xml:space="preserve">TC-084</t>
  </si>
  <si>
    <t xml:space="preserve">Verify subtotal for full catalogue (one of each, 16 items)</t>
  </si>
  <si>
    <t xml:space="preserve">Full-catalogue aggregation bug — most likely place for off-by-pence errors</t>
  </si>
  <si>
    <t xml:space="preserve">TC-085</t>
  </si>
  <si>
    <t xml:space="preserve">Verify total for full catalogue with Standard Shipping</t>
  </si>
  <si>
    <t xml:space="preserve">Delivery additive bug at scale</t>
  </si>
  <si>
    <t xml:space="preserve">TC-086</t>
  </si>
  <si>
    <t xml:space="preserve">Verify rounding — Bubbly + Drumsticks must show £0.30 not £0.30000…</t>
  </si>
  <si>
    <t xml:space="preserve">FR-09 / Spec §6.3</t>
  </si>
  <si>
    <t xml:space="preserve">JS floating-point rounding bug (classic JS cart defect)</t>
  </si>
  <si>
    <t xml:space="preserve">TC-087</t>
  </si>
  <si>
    <t xml:space="preserve">Verify rounding — three-item combination producing fractional pence</t>
  </si>
  <si>
    <t xml:space="preserve">JS floating-point rounding bug across more terms</t>
  </si>
  <si>
    <t xml:space="preserve">TC-088</t>
  </si>
  <si>
    <t xml:space="preserve">Verify empty basket subtotal is £0.00</t>
  </si>
  <si>
    <t xml:space="preserve">FR-09 / Spec §6.2</t>
  </si>
  <si>
    <t xml:space="preserve">Empty-basket subtotal bug — possibly NaN or undefined</t>
  </si>
  <si>
    <t xml:space="preserve">TC-089</t>
  </si>
  <si>
    <t xml:space="preserve">Verify behaviour: Standard Shipping selected on empty basket</t>
  </si>
  <si>
    <t xml:space="preserve">FR-10 / Spec §6.2</t>
  </si>
  <si>
    <t xml:space="preserve">Edge case: delivery applied without items (usability/calculation gap)</t>
  </si>
  <si>
    <t xml:space="preserve">TC-090</t>
  </si>
  <si>
    <t xml:space="preserve">Verify total updates dynamically as items are added on basket page</t>
  </si>
  <si>
    <t xml:space="preserve">Stale-total bug — UI not re-rendered after state change</t>
  </si>
  <si>
    <t xml:space="preserve">TC-091</t>
  </si>
  <si>
    <t xml:space="preserve">Verify delivery toggle does not duplicate or lose items</t>
  </si>
  <si>
    <t xml:space="preserve">FR-07, FR-09</t>
  </si>
  <si>
    <t xml:space="preserve">State-mutation-on-toggle bug — items lost or duplicated on radio change</t>
  </si>
  <si>
    <t xml:space="preserve">TC-092</t>
  </si>
  <si>
    <t xml:space="preserve">Verify high-quantity calculation (single product × 50)</t>
  </si>
  <si>
    <t xml:space="preserve">High-quantity overflow / display truncation</t>
  </si>
  <si>
    <t xml:space="preserve">TC-093</t>
  </si>
  <si>
    <t xml:space="preserve">Verify total formatting consistency (always 2 decimal places, GBP symbol)</t>
  </si>
  <si>
    <t xml:space="preserve">Spec §6.3</t>
  </si>
  <si>
    <t xml:space="preserve">Currency formatting inconsistency across totals</t>
  </si>
  <si>
    <t xml:space="preserve">TC-094</t>
  </si>
  <si>
    <t xml:space="preserve">Verify subtotal recomputes correctly after Empty Basket</t>
  </si>
  <si>
    <t xml:space="preserve">Subtotal not recomputed after Empty Basket — stale value</t>
  </si>
  <si>
    <t xml:space="preserve">TC-095</t>
  </si>
  <si>
    <t xml:space="preserve">Verify decimal-rounding edge case: subtotal £1.99 with Standard delivery = £3.98</t>
  </si>
  <si>
    <t xml:space="preserve">FR-09, FR-10, Spec §6.3</t>
  </si>
  <si>
    <t xml:space="preserve">JS floating-point rounding bug at delivery-charge addition</t>
  </si>
  <si>
    <t xml:space="preserve">TC-096</t>
  </si>
  <si>
    <t xml:space="preserve">Verify all 16 distinct items + Standard Shipping produces no float artefact</t>
  </si>
  <si>
    <t xml:space="preserve">Worst-case JS floating-point bug — 16 items + delivery</t>
  </si>
  <si>
    <t xml:space="preserve">TC-100</t>
  </si>
  <si>
    <t xml:space="preserve">Login</t>
  </si>
  <si>
    <t xml:space="preserve">Verify Login page header renders correctly</t>
  </si>
  <si>
    <t xml:space="preserve">Static text drift on login page</t>
  </si>
  <si>
    <t xml:space="preserve">TC-101</t>
  </si>
  <si>
    <t xml:space="preserve">Verify Login form submission with both fields empty</t>
  </si>
  <si>
    <t xml:space="preserve">Validation not wired / button submits empty form</t>
  </si>
  <si>
    <t xml:space="preserve">TC-102</t>
  </si>
  <si>
    <t xml:space="preserve">Verify Login form rejects malformed email addresses (parameterised)</t>
  </si>
  <si>
    <t xml:space="preserve">FR-14, Spec §7.1</t>
  </si>
  <si>
    <t xml:space="preserve">Email regex too permissive — accepts malformed emails</t>
  </si>
  <si>
    <t xml:space="preserve">TC-103</t>
  </si>
  <si>
    <t xml:space="preserve">Verify Login form accepts well-formed email + non-empty password</t>
  </si>
  <si>
    <t xml:space="preserve">Validation false-positive — rejects valid input</t>
  </si>
  <si>
    <t xml:space="preserve">TC-104</t>
  </si>
  <si>
    <t xml:space="preserve">Verify password field masks characters</t>
  </si>
  <si>
    <t xml:space="preserve">Spec §14.1</t>
  </si>
  <si>
    <t xml:space="preserve">Password not masked — security regression</t>
  </si>
  <si>
    <t xml:space="preserve">TC-106</t>
  </si>
  <si>
    <t xml:space="preserve">Verify Login form retains entered values after failed validation</t>
  </si>
  <si>
    <t xml:space="preserve">Spec §5.3</t>
  </si>
  <si>
    <t xml:space="preserve">Form-state-on-error bug — inputs cleared on validation fail</t>
  </si>
  <si>
    <t xml:space="preserve">TC-107</t>
  </si>
  <si>
    <t xml:space="preserve">Verify Login form does not auto-submit on Enter key in Email field</t>
  </si>
  <si>
    <t xml:space="preserve">Enter-key bypasses validation / inconsistent form submit trigger</t>
  </si>
  <si>
    <t xml:space="preserve">TC-108</t>
  </si>
  <si>
    <t xml:space="preserve">Verify navbar does NOT change after login submit (no auth state UI)</t>
  </si>
  <si>
    <t xml:space="preserve">Spec §9.4, Spec §17 (KI-4)</t>
  </si>
  <si>
    <t xml:space="preserve">Auth state UI drift (KI-4 anchor)</t>
  </si>
  <si>
    <t xml:space="preserve">TC-110</t>
  </si>
  <si>
    <t xml:space="preserve">Billing</t>
  </si>
  <si>
    <t xml:space="preserve">Verify Billing form renders all 8 documented fields</t>
  </si>
  <si>
    <t xml:space="preserve">Form template missing fields / wrong labels</t>
  </si>
  <si>
    <t xml:space="preserve">TC-111</t>
  </si>
  <si>
    <t xml:space="preserve">Verify Billing form — submit empty triggers all 7 required field errors</t>
  </si>
  <si>
    <t xml:space="preserve">FR-11, FR-13, Spec §7.2</t>
  </si>
  <si>
    <t xml:space="preserve">Submit-empty validation gap / errors not shown simultaneously</t>
  </si>
  <si>
    <t xml:space="preserve">TC-112</t>
  </si>
  <si>
    <t xml:space="preserve">Verify Billing — First Name validation (parameterised)</t>
  </si>
  <si>
    <t xml:space="preserve">Spec §7.2</t>
  </si>
  <si>
    <t xml:space="preserve">First-name validation gap or wrong message</t>
  </si>
  <si>
    <t xml:space="preserve">TC-113</t>
  </si>
  <si>
    <t xml:space="preserve">Verify Billing — Last Name validation</t>
  </si>
  <si>
    <t xml:space="preserve">Last-name validation gap or wrong message</t>
  </si>
  <si>
    <t xml:space="preserve">TC-114</t>
  </si>
  <si>
    <t xml:space="preserve">Verify Billing — Email field validation (parameterised)</t>
  </si>
  <si>
    <t xml:space="preserve">Email validation regex bug</t>
  </si>
  <si>
    <t xml:space="preserve">TC-115</t>
  </si>
  <si>
    <t xml:space="preserve">Verify Billing — Address Line 1 validation</t>
  </si>
  <si>
    <t xml:space="preserve">Address-line-1 validation gap</t>
  </si>
  <si>
    <t xml:space="preserve">TC-116</t>
  </si>
  <si>
    <t xml:space="preserve">Verify Billing — Address Line 2 is optional</t>
  </si>
  <si>
    <t xml:space="preserve">Required-flag bug — Address 2 incorrectly required</t>
  </si>
  <si>
    <t xml:space="preserve">TC-117</t>
  </si>
  <si>
    <t xml:space="preserve">Verify Billing — Country dropdown options and validation</t>
  </si>
  <si>
    <t xml:space="preserve">Spec §4.3.5, §7.2</t>
  </si>
  <si>
    <t xml:space="preserve">Country dropdown options mis-configured</t>
  </si>
  <si>
    <t xml:space="preserve">TC-118</t>
  </si>
  <si>
    <t xml:space="preserve">Verify Billing — City dropdown options and validation (KI-3)</t>
  </si>
  <si>
    <t xml:space="preserve">Spec §4.3.5, §7.2, Spec §17</t>
  </si>
  <si>
    <t xml:space="preserve">City dropdown configuration drift (KI-3 anchor)</t>
  </si>
  <si>
    <t xml:space="preserve">TC-119</t>
  </si>
  <si>
    <t xml:space="preserve">Verify Billing — ZIP / Postcode validation</t>
  </si>
  <si>
    <t xml:space="preserve">ZIP validation gap or wrong error</t>
  </si>
  <si>
    <t xml:space="preserve">TC-120</t>
  </si>
  <si>
    <t xml:space="preserve">Verify Billing form retains values after failed validation</t>
  </si>
  <si>
    <t xml:space="preserve">Form-state-on-error bug — values wiped on error</t>
  </si>
  <si>
    <t xml:space="preserve">TC-121</t>
  </si>
  <si>
    <t xml:space="preserve">Verify Billing form Tab order is logical (top-to-bottom, left-to-right)</t>
  </si>
  <si>
    <t xml:space="preserve">Tab order broken — accessibility regression</t>
  </si>
  <si>
    <t xml:space="preserve">TC-122</t>
  </si>
  <si>
    <t xml:space="preserve">Verify Billing form Tab continues into Payment form</t>
  </si>
  <si>
    <t xml:space="preserve">Focus trap inside billing form — keyboard users can't reach payment</t>
  </si>
  <si>
    <t xml:space="preserve">TC-123</t>
  </si>
  <si>
    <t xml:space="preserve">Verify Billing email field rejects emails with leading/trailing whitespace</t>
  </si>
  <si>
    <t xml:space="preserve">Whitespace handling inconsistency in email field</t>
  </si>
  <si>
    <t xml:space="preserve">TC-130</t>
  </si>
  <si>
    <t xml:space="preserve">Payment</t>
  </si>
  <si>
    <t xml:space="preserve">Verify Payment form renders all 4 documented fields</t>
  </si>
  <si>
    <t xml:space="preserve">Payment template missing fields</t>
  </si>
  <si>
    <t xml:space="preserve">TC-131</t>
  </si>
  <si>
    <t xml:space="preserve">Verify Payment — Name on Card validation</t>
  </si>
  <si>
    <t xml:space="preserve">Spec §7.3</t>
  </si>
  <si>
    <t xml:space="preserve">Name-on-Card validation gap</t>
  </si>
  <si>
    <t xml:space="preserve">TC-132</t>
  </si>
  <si>
    <t xml:space="preserve">Verify Payment — Card Number validation (parameterised)</t>
  </si>
  <si>
    <t xml:space="preserve">Card number Luhn / length validation gap (likely thin)</t>
  </si>
  <si>
    <t xml:space="preserve">TC-133</t>
  </si>
  <si>
    <t xml:space="preserve">Verify Payment — Expiration Date validation</t>
  </si>
  <si>
    <t xml:space="preserve">Expiry past-date validation gap (likely thin)</t>
  </si>
  <si>
    <t xml:space="preserve">TC-134</t>
  </si>
  <si>
    <t xml:space="preserve">Verify Payment — CVV validation (parameterised)</t>
  </si>
  <si>
    <t xml:space="preserve">CVV length / format validation gap</t>
  </si>
  <si>
    <t xml:space="preserve">TC-135</t>
  </si>
  <si>
    <t xml:space="preserve">Verify CVV field masks input (security)</t>
  </si>
  <si>
    <t xml:space="preserve">CVV not masked — minor security concern</t>
  </si>
  <si>
    <t xml:space="preserve">TC-136</t>
  </si>
  <si>
    <t xml:space="preserve">Verify card number field accepts and properly handles paste with spaces</t>
  </si>
  <si>
    <t xml:space="preserve">Paste with spaces breaks card validation — usability gap</t>
  </si>
  <si>
    <t xml:space="preserve">TC-137</t>
  </si>
  <si>
    <t xml:space="preserve">Verify autocomplete attribute behaviour on payment fields</t>
  </si>
  <si>
    <t xml:space="preserve">Wrong autocomplete tokens / card data persisted by browser</t>
  </si>
  <si>
    <t xml:space="preserve">TC-138</t>
  </si>
  <si>
    <t xml:space="preserve">Verify card number field does not allow alphabetic characters</t>
  </si>
  <si>
    <t xml:space="preserve">Card number accepts non-numeric — validation gap</t>
  </si>
  <si>
    <t xml:space="preserve">TC-140</t>
  </si>
  <si>
    <t xml:space="preserve">Verify Continue to checkout triggers full validation across both forms</t>
  </si>
  <si>
    <t xml:space="preserve">Validation orchestration bug — not all errors fire on submit</t>
  </si>
  <si>
    <t xml:space="preserve">TC-141</t>
  </si>
  <si>
    <t xml:space="preserve">Verify Continue to checkout with all valid data — observe behaviour</t>
  </si>
  <si>
    <t xml:space="preserve">FR-13, Spec §17</t>
  </si>
  <si>
    <t xml:space="preserve">Happy-path crash / unexpected network call (KI-5 anchor)</t>
  </si>
  <si>
    <t xml:space="preserve">TC-142</t>
  </si>
  <si>
    <t xml:space="preserve">Verify Continue to checkout on empty basket</t>
  </si>
  <si>
    <t xml:space="preserve">Spec §8.1</t>
  </si>
  <si>
    <t xml:space="preserve">Empty-basket checkout permitted (usability gap per Spec §8.1)</t>
  </si>
  <si>
    <t xml:space="preserve">Verify error messages are placed adjacent to their fields</t>
  </si>
  <si>
    <t xml:space="preserve">NFR-01, NFR-03</t>
  </si>
  <si>
    <t xml:space="preserve">Error-message placement bug — wrong field association</t>
  </si>
  <si>
    <t xml:space="preserve">TC-144</t>
  </si>
  <si>
    <t xml:space="preserve">Verify error message clears when user corrects the field</t>
  </si>
  <si>
    <t xml:space="preserve">Spec §7.5</t>
  </si>
  <si>
    <t xml:space="preserve">Stale-error bug — message persists after correction</t>
  </si>
  <si>
    <t xml:space="preserve">TC-145</t>
  </si>
  <si>
    <t xml:space="preserve">Verify focus lands on first errored field after failed submit</t>
  </si>
  <si>
    <t xml:space="preserve">Spec §7.5, NFR-07</t>
  </si>
  <si>
    <t xml:space="preserve">No focus jump to first error — accessibility gap</t>
  </si>
  <si>
    <t xml:space="preserve">TC-146</t>
  </si>
  <si>
    <t xml:space="preserve">Verify URL stays on /basket after failed validation</t>
  </si>
  <si>
    <t xml:space="preserve">Form submits to a different URL / page state lost</t>
  </si>
  <si>
    <t xml:space="preserve">TC-150</t>
  </si>
  <si>
    <t xml:space="preserve">About</t>
  </si>
  <si>
    <t xml:space="preserve">Verify About page promotional banner renders</t>
  </si>
  <si>
    <t xml:space="preserve">Promo banner missing on About page</t>
  </si>
  <si>
    <t xml:space="preserve">TC-151</t>
  </si>
  <si>
    <t xml:space="preserve">Verify About page content renders</t>
  </si>
  <si>
    <t xml:space="preserve">About content drift</t>
  </si>
  <si>
    <t xml:space="preserve">TC-161</t>
  </si>
  <si>
    <t xml:space="preserve">Verify basket persistence across page refresh</t>
  </si>
  <si>
    <t xml:space="preserve">Spec §8.10</t>
  </si>
  <si>
    <t xml:space="preserve">Refresh wipes state — wrong storage mechanism (sessionStorage vs localStorage)</t>
  </si>
  <si>
    <t xml:space="preserve">TC-162</t>
  </si>
  <si>
    <t xml:space="preserve">Verify basket persistence across browser back/forward navigation</t>
  </si>
  <si>
    <t xml:space="preserve">Spec §8.9</t>
  </si>
  <si>
    <t xml:space="preserve">Back/forward state loss — browser-cache vs storage interaction bug</t>
  </si>
  <si>
    <t xml:space="preserve">TC-163</t>
  </si>
  <si>
    <t xml:space="preserve">Verify basket persistence across new browser tab (same URL)</t>
  </si>
  <si>
    <t xml:space="preserve">Spec §9.2</t>
  </si>
  <si>
    <t xml:space="preserve">Cross-tab state inconsistency (storage scope confirmation)</t>
  </si>
  <si>
    <t xml:space="preserve">TC-164</t>
  </si>
  <si>
    <t xml:space="preserve">Verify basket persistence across browser close/reopen</t>
  </si>
  <si>
    <t xml:space="preserve">Browser-restart state loss (storage scope confirmation)</t>
  </si>
  <si>
    <t xml:space="preserve">TC-165</t>
  </si>
  <si>
    <t xml:space="preserve">Verify basket state can be inspected in DevTools Application panel</t>
  </si>
  <si>
    <t xml:space="preserve">Spec §15.3</t>
  </si>
  <si>
    <t xml:space="preserve">Storage key not discoverable / opaque structure (automation seeding blocker)</t>
  </si>
  <si>
    <t xml:space="preserve">TC-166</t>
  </si>
  <si>
    <t xml:space="preserve">Verify UI handles direct localStorage manipulation gracefully (KI test)</t>
  </si>
  <si>
    <t xml:space="preserve">Spec §14.4</t>
  </si>
  <si>
    <t xml:space="preserve">Crash on corrupt storage state (per Spec §14.4 — graceful degradation expected)</t>
  </si>
  <si>
    <t xml:space="preserve">TC-167</t>
  </si>
  <si>
    <t xml:space="preserve">Verify cross-tab basket sync — modify in one tab, observe in another</t>
  </si>
  <si>
    <t xml:space="preserve">Cross-tab inconsistency / storage event listener missing</t>
  </si>
  <si>
    <t xml:space="preserve">TC-168</t>
  </si>
  <si>
    <t xml:space="preserve">Verify cross-tab race — empty in tab 1, observe in tab 2</t>
  </si>
  <si>
    <t xml:space="preserve">Stale state in second tab after Empty Basket</t>
  </si>
  <si>
    <t xml:space="preserve">TC-169</t>
  </si>
  <si>
    <t xml:space="preserve">Verify back button after Empty Basket does NOT restore basket</t>
  </si>
  <si>
    <t xml:space="preserve">Browser cache restores empty basket — back/forward state bug</t>
  </si>
  <si>
    <t xml:space="preserve">TC-170</t>
  </si>
  <si>
    <t xml:space="preserve">Negative Flows</t>
  </si>
  <si>
    <t xml:space="preserve">Verify direct URL navigation to /basket with empty basket</t>
  </si>
  <si>
    <t xml:space="preserve">Spec §8.8</t>
  </si>
  <si>
    <t xml:space="preserve">Direct-URL routing bug / empty-state render bug</t>
  </si>
  <si>
    <t xml:space="preserve">TC-171</t>
  </si>
  <si>
    <t xml:space="preserve">Verify behaviour on direct navigation to a non-existent URL</t>
  </si>
  <si>
    <t xml:space="preserve">404 / catch-all routing bug</t>
  </si>
  <si>
    <t xml:space="preserve">TC-180</t>
  </si>
  <si>
    <t xml:space="preserve">Verify smoke suite passes on Firefox</t>
  </si>
  <si>
    <t xml:space="preserve">NFR-04, NFR-05</t>
  </si>
  <si>
    <t xml:space="preserve">Browser-specific render or behaviour bug (Firefox)</t>
  </si>
  <si>
    <t xml:space="preserve">TC-181</t>
  </si>
  <si>
    <t xml:space="preserve">Verify smoke suite passes on Safari</t>
  </si>
  <si>
    <t xml:space="preserve">Browser-specific render or behaviour bug (Safari)</t>
  </si>
  <si>
    <t xml:space="preserve">TC-190</t>
  </si>
  <si>
    <t xml:space="preserve">Performance</t>
  </si>
  <si>
    <t xml:space="preserve">Verify Home page initial load &lt; 3 seconds on standard broadband</t>
  </si>
  <si>
    <t xml:space="preserve">Spec §13.1</t>
  </si>
  <si>
    <t xml:space="preserve">Heavy initial payload / unoptimised assets</t>
  </si>
  <si>
    <t xml:space="preserve">TC-191</t>
  </si>
  <si>
    <t xml:space="preserve">Verify navigation between pages &lt; 1 second</t>
  </si>
  <si>
    <t xml:space="preserve">Slow internal navigation / route-handling cost</t>
  </si>
  <si>
    <t xml:space="preserve">TC-192</t>
  </si>
  <si>
    <t xml:space="preserve">Verify Add to Basket response &lt; 100ms</t>
  </si>
  <si>
    <t xml:space="preserve">Heavy client-side handler — perf bug on basket update</t>
  </si>
  <si>
    <t xml:space="preserve">TC-193</t>
  </si>
  <si>
    <t xml:space="preserve">Verify Lighthouse Performance score on Home page</t>
  </si>
  <si>
    <t xml:space="preserve">Spec §13.3</t>
  </si>
  <si>
    <t xml:space="preserve">Lighthouse score below threshold — multiple opportunities</t>
  </si>
  <si>
    <t xml:space="preserve">TC-194</t>
  </si>
  <si>
    <t xml:space="preserve">Verify Lighthouse Performance score on /sweets page</t>
  </si>
  <si>
    <t xml:space="preserve">Lighthouse score below threshold — image-heavy /sweets page</t>
  </si>
  <si>
    <t xml:space="preserve">TC-195</t>
  </si>
  <si>
    <t xml:space="preserve">Verify pages render under Slow 3G throttle</t>
  </si>
  <si>
    <t xml:space="preserve">Page broken under throttled network (timeout, asset drop)</t>
  </si>
  <si>
    <t xml:space="preserve">TC-196</t>
  </si>
  <si>
    <t xml:space="preserve">Verify GIF banner asset size and loading approach</t>
  </si>
  <si>
    <t xml:space="preserve">Spec §13.2</t>
  </si>
  <si>
    <t xml:space="preserve">Oversized GIF asset — opportunity, not defect</t>
  </si>
  <si>
    <t xml:space="preserve">TC-197</t>
  </si>
  <si>
    <t xml:space="preserve">Verify /sweets product image loading does not block page interactivity</t>
  </si>
  <si>
    <t xml:space="preserve">Page blocks interactivity until images load — perf bug</t>
  </si>
  <si>
    <t xml:space="preserve">TC-200</t>
  </si>
  <si>
    <t xml:space="preserve">Verify XSS injection in text fields is treated as plain text (parameterised)</t>
  </si>
  <si>
    <t xml:space="preserve">Spec §14.3</t>
  </si>
  <si>
    <t xml:space="preserve">XSS vulnerability — major security defect</t>
  </si>
  <si>
    <t xml:space="preserve">TC-201</t>
  </si>
  <si>
    <t xml:space="preserve">Verify XSS injection on Login fields</t>
  </si>
  <si>
    <t xml:space="preserve">XSS vulnerability on Login fields</t>
  </si>
  <si>
    <t xml:space="preserve">TC-202</t>
  </si>
  <si>
    <t xml:space="preserve">Verify zero network requests on Continue to checkout (no card data on the wire)</t>
  </si>
  <si>
    <t xml:space="preserve">Spec §14.2</t>
  </si>
  <si>
    <t xml:space="preserve">Card data on the wire — critical PCI concern</t>
  </si>
  <si>
    <t xml:space="preserve">TC-203</t>
  </si>
  <si>
    <t xml:space="preserve">Verify no card data is logged to browser console</t>
  </si>
  <si>
    <t xml:space="preserve">Card data logged to console — PCI / data leak concern</t>
  </si>
  <si>
    <t xml:space="preserve">TC-204</t>
  </si>
  <si>
    <t xml:space="preserve">Verify HTTPS is used and no mixed content warnings</t>
  </si>
  <si>
    <t xml:space="preserve">Spec §14.6</t>
  </si>
  <si>
    <t xml:space="preserve">Mixed-content warning / non-HTTPS asset</t>
  </si>
  <si>
    <t xml:space="preserve">TC-205</t>
  </si>
  <si>
    <t xml:space="preserve">Verify no third-party tracking or analytics loaded</t>
  </si>
  <si>
    <t xml:space="preserve">Spec §16.1</t>
  </si>
  <si>
    <t xml:space="preserve">Unexpected 3rd-party tracking — privacy concern</t>
  </si>
  <si>
    <t xml:space="preserve">TC-206</t>
  </si>
  <si>
    <t xml:space="preserve">Verify direct URL access does not bypass any expected access control</t>
  </si>
  <si>
    <t xml:space="preserve">Spec §14.5</t>
  </si>
  <si>
    <t xml:space="preserve">Routing / access-control regression (per spec, all routes should be open)</t>
  </si>
  <si>
    <t xml:space="preserve">TC-207</t>
  </si>
  <si>
    <t xml:space="preserve">Verify card data is not stored in browser autofill memory after submission</t>
  </si>
  <si>
    <t xml:space="preserve">Browser autofill stores card data — privacy concern</t>
  </si>
  <si>
    <t xml:space="preserve">TC-208</t>
  </si>
  <si>
    <t xml:space="preserve">Verify form action attribute does not leak to a real endpoint</t>
  </si>
  <si>
    <t xml:space="preserve">Form action leaks to real endpoint — critical PCI concern</t>
  </si>
  <si>
    <t xml:space="preserve">TC-210</t>
  </si>
  <si>
    <t xml:space="preserve">Verify all product images have descriptive alt text</t>
  </si>
  <si>
    <t xml:space="preserve">Missing alt text — accessibility regression</t>
  </si>
  <si>
    <t xml:space="preserve">TC-211</t>
  </si>
  <si>
    <t xml:space="preserve">Verify all form inputs are associated with visible labels</t>
  </si>
  <si>
    <t xml:space="preserve">Missing label association — accessibility regression</t>
  </si>
  <si>
    <t xml:space="preserve">TC-212</t>
  </si>
  <si>
    <t xml:space="preserve">Verify error messages are programmatically associated with their fields</t>
  </si>
  <si>
    <t xml:space="preserve">Missing aria-describedby / aria-invalid — screen-reader gap</t>
  </si>
  <si>
    <t xml:space="preserve">TC-213</t>
  </si>
  <si>
    <t xml:space="preserve">Verify Lighthouse Accessibility audit on key pages</t>
  </si>
  <si>
    <t xml:space="preserve">NFR-06, NFR-07, NFR-08</t>
  </si>
  <si>
    <t xml:space="preserve">Lighthouse a11y score low — multiple findings</t>
  </si>
  <si>
    <t xml:space="preserve">TC-214</t>
  </si>
  <si>
    <t xml:space="preserve">Verify keyboard navigation through forms</t>
  </si>
  <si>
    <t xml:space="preserve">Tab order broken / keyboard trap</t>
  </si>
  <si>
    <t xml:space="preserve">TC-215</t>
  </si>
  <si>
    <t xml:space="preserve">Verify color contrast on primary text and error messages</t>
  </si>
  <si>
    <t xml:space="preserve">Color contrast below WCAG AA — accessibility defect</t>
  </si>
  <si>
    <t xml:space="preserve">TC-216</t>
  </si>
  <si>
    <t xml:space="preserve">Verify focus indicator is visible on all interactive elements</t>
  </si>
  <si>
    <t xml:space="preserve">Missing focus indicators — keyboard users can't track focus</t>
  </si>
  <si>
    <t xml:space="preserve">TC-217</t>
  </si>
  <si>
    <t xml:space="preserve">Verify basket count change is announceable to screen readers</t>
  </si>
  <si>
    <t xml:space="preserve">FR-05, NFR-08</t>
  </si>
  <si>
    <t xml:space="preserve">No aria-live on counter — screen-reader users miss state changes</t>
  </si>
  <si>
    <t xml:space="preserve">TC-220</t>
  </si>
  <si>
    <t xml:space="preserve">DevTools</t>
  </si>
  <si>
    <t xml:space="preserve">Verify no critical JS errors on initial load of any page</t>
  </si>
  <si>
    <t xml:space="preserve">Pre-existing console errors (some intentional per Spec §17)</t>
  </si>
  <si>
    <t xml:space="preserve">TC-221</t>
  </si>
  <si>
    <t xml:space="preserve">Verify Network tab shows expected static asset loads only</t>
  </si>
  <si>
    <t xml:space="preserve">Unexpected 3rd-party network calls</t>
  </si>
  <si>
    <t xml:space="preserve">TC-222</t>
  </si>
  <si>
    <t xml:space="preserve">Verify Sources tab exposes basket logic and price calculation functions</t>
  </si>
  <si>
    <t xml:space="preserve">Spec §15.4</t>
  </si>
  <si>
    <t xml:space="preserve">Source-tab inspection (no defect surface — discovery only)</t>
  </si>
  <si>
    <t xml:space="preserve">TC-223</t>
  </si>
  <si>
    <t xml:space="preserve">Verify Application Storage panel shows basket key after items added</t>
  </si>
  <si>
    <t xml:space="preserve">Storage key not visible / not parseable</t>
  </si>
  <si>
    <t xml:space="preserve">Known Issues</t>
  </si>
  <si>
    <t xml:space="preserve">Verify KI register matches Spec §17 — full pass</t>
  </si>
  <si>
    <t xml:space="preserve">Spec §17</t>
  </si>
  <si>
    <t xml:space="preserve">Documented intentional issues (KI-1..7) — these are NOT defects; verify they remain stable</t>
  </si>
  <si>
    <t xml:space="preserve">TC-240</t>
  </si>
  <si>
    <t xml:space="preserve">Cross-cutting</t>
  </si>
  <si>
    <t xml:space="preserve">Verify behaviour at 200% browser zoom</t>
  </si>
  <si>
    <t xml:space="preserve">Layout breaks at high zoom — accessibility regression</t>
  </si>
  <si>
    <t xml:space="preserve">TC-241</t>
  </si>
  <si>
    <t xml:space="preserve">Verify behaviour at narrow viewport (1024px wide)</t>
  </si>
  <si>
    <t xml:space="preserve">Layout breaks at narrow viewport — responsive design gap</t>
  </si>
  <si>
    <t xml:space="preserve">TC-242</t>
  </si>
  <si>
    <t xml:space="preserve">Verify text selection and copy behaviour on page content</t>
  </si>
  <si>
    <t xml:space="preserve">user-select: none disables text copy — usability regression</t>
  </si>
  <si>
    <t xml:space="preserve">TC-243</t>
  </si>
  <si>
    <t xml:space="preserve">Verify URL behaviour on hash change and query string</t>
  </si>
  <si>
    <t xml:space="preserve">Routing crashes on query-string or hash — fragile router</t>
  </si>
  <si>
    <t xml:space="preserve">TC-244</t>
  </si>
  <si>
    <t xml:space="preserve">Verify behaviour in incognito / private browsing mode</t>
  </si>
  <si>
    <t xml:space="preserve">Storage-restricted environment crashes app</t>
  </si>
  <si>
    <t xml:space="preserve">TC-245</t>
  </si>
  <si>
    <t xml:space="preserve">Verify favicon loads on all pages</t>
  </si>
  <si>
    <t xml:space="preserve">Missing favicon — branding / polish gap</t>
  </si>
  <si>
    <t xml:space="preserve">Requirement(s) Covered</t>
  </si>
  <si>
    <t xml:space="preserve">Trace Status</t>
  </si>
  <si>
    <t xml:space="preserve">FR-16, NFR-02</t>
  </si>
  <si>
    <t xml:space="preserve">Traced</t>
  </si>
  <si>
    <t xml:space="preserve">Orphan (review)</t>
  </si>
  <si>
    <t xml:space="preserve">FR-05, FR-16</t>
  </si>
  <si>
    <t xml:space="preserve">FR-05, FR-06</t>
  </si>
  <si>
    <t xml:space="preserve">FR-08, NFR-01</t>
  </si>
  <si>
    <t xml:space="preserve">FR-08, FR-10</t>
  </si>
  <si>
    <t xml:space="preserve">FR-06, FR-09</t>
  </si>
  <si>
    <t xml:space="preserve">FR-14, NFR-01</t>
  </si>
  <si>
    <t xml:space="preserve">FR-11, FR-13, NFR-01</t>
  </si>
  <si>
    <t xml:space="preserve">FR-11, NFR-07</t>
  </si>
  <si>
    <t xml:space="preserve">FR-13, NFR-01</t>
  </si>
  <si>
    <t xml:space="preserve">FR-13, NFR-01, NFR-03</t>
  </si>
  <si>
    <t xml:space="preserve">FR-13, NFR-07</t>
  </si>
  <si>
    <t xml:space="preserve">Status</t>
  </si>
  <si>
    <t xml:space="preserve">Executed By</t>
  </si>
  <si>
    <t xml:space="preserve">Execution Date</t>
  </si>
  <si>
    <t xml:space="preserve">Defect ID</t>
  </si>
  <si>
    <t xml:space="preserve">Notes</t>
  </si>
  <si>
    <t xml:space="preserve">Not Run</t>
  </si>
  <si>
    <t xml:space="preserve">Coverage Summary Dashboard</t>
  </si>
  <si>
    <t xml:space="preserve">Requirements Coverage</t>
  </si>
  <si>
    <t xml:space="preserve">Metric</t>
  </si>
  <si>
    <t xml:space="preserve">Count</t>
  </si>
  <si>
    <t xml:space="preserve">Percentage</t>
  </si>
  <si>
    <t xml:space="preserve">Total Requirements (FR + NFR)</t>
  </si>
  <si>
    <t xml:space="preserve">100.0%</t>
  </si>
  <si>
    <t xml:space="preserve">Functional Requirements (FR-01..18)</t>
  </si>
  <si>
    <t xml:space="preserve">Non-Functional Requirements (NFR-01..08)</t>
  </si>
  <si>
    <t xml:space="preserve">Requirements with at least 1 test case (Covered)</t>
  </si>
  <si>
    <t xml:space="preserve">Requirements with NO test case (GAP)</t>
  </si>
  <si>
    <t xml:space="preserve">Test Case Distribution</t>
  </si>
  <si>
    <t xml:space="preserve">Bucket</t>
  </si>
  <si>
    <t xml:space="preserve">Total Test Cases</t>
  </si>
  <si>
    <t xml:space="preserve">P0 — Critical</t>
  </si>
  <si>
    <t xml:space="preserve">P1 — High</t>
  </si>
  <si>
    <t xml:space="preserve">P2 — Medium</t>
  </si>
  <si>
    <t xml:space="preserve">P3 — Low</t>
  </si>
  <si>
    <t xml:space="preserve"> </t>
  </si>
  <si>
    <t xml:space="preserve">Smoke (PR-level CI)</t>
  </si>
  <si>
    <t xml:space="preserve">Regression (merge + nightly)</t>
  </si>
  <si>
    <t xml:space="preserve">Manual only</t>
  </si>
  <si>
    <t xml:space="preserve">Execution Status (live from Execution Log)</t>
  </si>
  <si>
    <t xml:space="preserve">% of Total</t>
  </si>
  <si>
    <t xml:space="preserve">Pass</t>
  </si>
  <si>
    <t xml:space="preserve">Fail</t>
  </si>
  <si>
    <t xml:space="preserve">Skipped</t>
  </si>
  <si>
    <t xml:space="preserve">Defect Anchor</t>
  </si>
  <si>
    <t xml:space="preserve">As defects are raised during execution, log them here AND populate the Defect ID column on the Execution Log sheet for the failed test case. The RTM (Forward) sheet will automatically aggregate defect IDs against the affected requirements.</t>
  </si>
  <si>
    <t xml:space="preserve">Severity</t>
  </si>
  <si>
    <t xml:space="preserve">Test Case ID</t>
  </si>
  <si>
    <t xml:space="preserve">Date Raised</t>
  </si>
  <si>
    <t xml:space="preserve">Owner</t>
  </si>
  <si>
    <t xml:space="preserve">Legend &amp; Definitions</t>
  </si>
  <si>
    <t xml:space="preserve">Value</t>
  </si>
  <si>
    <t xml:space="preserve">Definition</t>
  </si>
  <si>
    <t xml:space="preserve">Critical — must pass at exit; covers core flows and key calculations</t>
  </si>
  <si>
    <t xml:space="preserve">High — should pass at exit; covers important features and validations</t>
  </si>
  <si>
    <t xml:space="preserve">Medium — should be executed; covers secondary features</t>
  </si>
  <si>
    <t xml:space="preserve">Low — nice to execute; covers edge cases and cosmetic checks</t>
  </si>
  <si>
    <t xml:space="preserve">Runs on every PR via CI; build rejected if any fails</t>
  </si>
  <si>
    <t xml:space="preserve">Runs on merge to main and nightly; full automated suite</t>
  </si>
  <si>
    <t xml:space="preserve">Manual execution only — exploratory, DevTools-driven, or visual</t>
  </si>
  <si>
    <t xml:space="preserve">Status (Execution Log)</t>
  </si>
  <si>
    <t xml:space="preserve">Case has not yet been executed</t>
  </si>
  <si>
    <t xml:space="preserve">All PASS conditions verified</t>
  </si>
  <si>
    <t xml:space="preserve">A FAIL condition was observed; raise defect and record Defect ID</t>
  </si>
  <si>
    <t xml:space="preserve">Case cannot be executed due to environment, build, or dependency issue</t>
  </si>
  <si>
    <t xml:space="preserve">Case intentionally excluded for this run (with reason in Notes)</t>
  </si>
  <si>
    <t xml:space="preserve">Coverage Status (RTM Forward)</t>
  </si>
  <si>
    <t xml:space="preserve">Requirement has at least one test case mapped to it</t>
  </si>
  <si>
    <t xml:space="preserve">GAP</t>
  </si>
  <si>
    <t xml:space="preserve">Requirement has NO test case — must be addressed before execution begins</t>
  </si>
  <si>
    <t xml:space="preserve">Defect Severity (Defect Anchor)</t>
  </si>
  <si>
    <t xml:space="preserve">Critical</t>
  </si>
  <si>
    <t xml:space="preserve">Core flow blocked; no workaround</t>
  </si>
  <si>
    <t xml:space="preserve">High</t>
  </si>
  <si>
    <t xml:space="preserve">Major function broken; workaround exists or feature partially works</t>
  </si>
  <si>
    <t xml:space="preserve">Medium</t>
  </si>
  <si>
    <t xml:space="preserve">Minor function broken; cosmetic with usability impact</t>
  </si>
  <si>
    <t xml:space="preserve">Low</t>
  </si>
  <si>
    <t xml:space="preserve">Cosmetic or trivial; no usability impact</t>
  </si>
  <si>
    <t xml:space="preserve">Defect Priority (Defect Anchor)</t>
  </si>
  <si>
    <t xml:space="preserve">Fix now — block exit</t>
  </si>
  <si>
    <t xml:space="preserve">Fix this cycle — should be fixed before exit</t>
  </si>
  <si>
    <t xml:space="preserve">Fix soon — should be fixed in the next cycle</t>
  </si>
  <si>
    <t xml:space="preserve">P4</t>
  </si>
  <si>
    <t xml:space="preserve">Fix eventually — backlog; nice-to-have</t>
  </si>
</sst>
</file>

<file path=xl/styles.xml><?xml version="1.0" encoding="utf-8"?>
<styleSheet xmlns="http://schemas.openxmlformats.org/spreadsheetml/2006/main">
  <numFmts count="3">
    <numFmt numFmtId="164" formatCode="General"/>
    <numFmt numFmtId="165" formatCode="General"/>
    <numFmt numFmtId="166" formatCode="0.0%"/>
  </numFmts>
  <fonts count="17">
    <font>
      <sz val="11"/>
      <color theme="1"/>
      <name val="Calibri"/>
      <family val="2"/>
      <charset val="1"/>
    </font>
    <font>
      <sz val="10"/>
      <name val="Arial"/>
      <family val="0"/>
    </font>
    <font>
      <sz val="10"/>
      <name val="Arial"/>
      <family val="0"/>
    </font>
    <font>
      <sz val="10"/>
      <name val="Arial"/>
      <family val="0"/>
    </font>
    <font>
      <b val="true"/>
      <sz val="28"/>
      <color rgb="FF1E2761"/>
      <name val="Arial"/>
      <family val="0"/>
      <charset val="1"/>
    </font>
    <font>
      <i val="true"/>
      <sz val="16"/>
      <color rgb="FF595959"/>
      <name val="Arial"/>
      <family val="0"/>
      <charset val="1"/>
    </font>
    <font>
      <b val="true"/>
      <sz val="11"/>
      <name val="Arial"/>
      <family val="0"/>
      <charset val="1"/>
    </font>
    <font>
      <sz val="11"/>
      <name val="Arial"/>
      <family val="0"/>
      <charset val="1"/>
    </font>
    <font>
      <b val="true"/>
      <sz val="14"/>
      <color rgb="FF1E2761"/>
      <name val="Arial"/>
      <family val="0"/>
      <charset val="1"/>
    </font>
    <font>
      <b val="true"/>
      <sz val="11"/>
      <color rgb="FFFFFFFF"/>
      <name val="Arial"/>
      <family val="0"/>
      <charset val="1"/>
    </font>
    <font>
      <b val="true"/>
      <sz val="10"/>
      <color rgb="FF1E2761"/>
      <name val="Arial"/>
      <family val="0"/>
      <charset val="1"/>
    </font>
    <font>
      <sz val="10"/>
      <name val="Arial"/>
      <family val="0"/>
      <charset val="1"/>
    </font>
    <font>
      <b val="true"/>
      <sz val="10"/>
      <color rgb="FF2E7D32"/>
      <name val="Arial"/>
      <family val="0"/>
      <charset val="1"/>
    </font>
    <font>
      <b val="true"/>
      <sz val="11"/>
      <color rgb="FF1E2761"/>
      <name val="Arial"/>
      <family val="0"/>
      <charset val="1"/>
    </font>
    <font>
      <b val="true"/>
      <sz val="10"/>
      <color rgb="FFC62828"/>
      <name val="Arial"/>
      <family val="0"/>
      <charset val="1"/>
    </font>
    <font>
      <b val="true"/>
      <sz val="18"/>
      <color rgb="FF1E2761"/>
      <name val="Arial"/>
      <family val="0"/>
      <charset val="1"/>
    </font>
    <font>
      <i val="true"/>
      <sz val="11"/>
      <color rgb="FF595959"/>
      <name val="Arial"/>
      <family val="0"/>
      <charset val="1"/>
    </font>
  </fonts>
  <fills count="8">
    <fill>
      <patternFill patternType="none"/>
    </fill>
    <fill>
      <patternFill patternType="gray125"/>
    </fill>
    <fill>
      <patternFill patternType="solid">
        <fgColor rgb="FF1E2761"/>
        <bgColor rgb="FF333333"/>
      </patternFill>
    </fill>
    <fill>
      <patternFill patternType="solid">
        <fgColor rgb="FFF4F6F8"/>
        <bgColor rgb="FFECEFF1"/>
      </patternFill>
    </fill>
    <fill>
      <patternFill patternType="solid">
        <fgColor rgb="FFC8E6C9"/>
        <bgColor rgb="FFD5DBE5"/>
      </patternFill>
    </fill>
    <fill>
      <patternFill patternType="solid">
        <fgColor rgb="FFD5DBE5"/>
        <bgColor rgb="FFC8E6C9"/>
      </patternFill>
    </fill>
    <fill>
      <patternFill patternType="solid">
        <fgColor rgb="FFFFCDD2"/>
        <bgColor rgb="FFD5DBE5"/>
      </patternFill>
    </fill>
    <fill>
      <patternFill patternType="solid">
        <fgColor rgb="FFECEFF1"/>
        <bgColor rgb="FFF4F6F8"/>
      </patternFill>
    </fill>
  </fills>
  <borders count="3">
    <border diagonalUp="false" diagonalDown="false">
      <left/>
      <right/>
      <top/>
      <bottom/>
      <diagonal/>
    </border>
    <border diagonalUp="false" diagonalDown="false">
      <left style="thin">
        <color rgb="FFB0B7BF"/>
      </left>
      <right style="thin">
        <color rgb="FFB0B7BF"/>
      </right>
      <top style="thin">
        <color rgb="FFB0B7BF"/>
      </top>
      <bottom style="thin">
        <color rgb="FFB0B7BF"/>
      </bottom>
      <diagonal/>
    </border>
    <border diagonalUp="false" diagonalDown="false">
      <left style="thin">
        <color rgb="FFB0B7BF"/>
      </left>
      <right/>
      <top style="thin">
        <color rgb="FFB0B7BF"/>
      </top>
      <bottom style="thin">
        <color rgb="FFB0B7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left" vertical="center" textRotation="0" wrapText="false" indent="0" shrinkToFit="false"/>
      <protection locked="true" hidden="false"/>
    </xf>
    <xf numFmtId="165" fontId="13" fillId="5" borderId="1" xfId="0" applyFont="true" applyBorder="true" applyAlignment="true" applyProtection="false">
      <alignment horizontal="center" vertical="center" textRotation="0" wrapText="fals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xf numFmtId="164" fontId="15" fillId="0" borderId="2"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6" fontId="7" fillId="0" borderId="1"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E2761"/>
          <bgColor rgb="FF000000"/>
        </patternFill>
      </fill>
    </dxf>
    <dxf>
      <fill>
        <patternFill patternType="solid">
          <fgColor rgb="FFD5DBE5"/>
          <bgColor rgb="FF000000"/>
        </patternFill>
      </fill>
    </dxf>
    <dxf>
      <fill>
        <patternFill patternType="solid">
          <fgColor rgb="FFF4F6F8"/>
          <bgColor rgb="FF000000"/>
        </patternFill>
      </fill>
    </dxf>
    <dxf>
      <fill>
        <patternFill patternType="solid">
          <bgColor rgb="FF000000"/>
        </patternFill>
      </fill>
    </dxf>
    <dxf>
      <fill>
        <patternFill patternType="solid">
          <fgColor rgb="FFFFFFFF"/>
          <bgColor rgb="FF000000"/>
        </patternFill>
      </fill>
    </dxf>
    <dxf>
      <fill>
        <patternFill patternType="solid">
          <fgColor rgb="FFC8E6C9"/>
          <bgColor rgb="FF000000"/>
        </patternFill>
      </fill>
    </dxf>
    <dxf>
      <fill>
        <patternFill patternType="solid">
          <fgColor rgb="FF2E7D32"/>
          <bgColor rgb="FF000000"/>
        </patternFill>
      </fill>
    </dxf>
    <dxf>
      <fill>
        <patternFill patternType="solid">
          <fgColor rgb="FFFFCDD2"/>
          <bgColor rgb="FF000000"/>
        </patternFill>
      </fill>
    </dxf>
    <dxf>
      <fill>
        <patternFill patternType="solid">
          <fgColor rgb="FFC62828"/>
          <bgColor rgb="FF000000"/>
        </patternFill>
      </fill>
    </dxf>
    <dxf>
      <fill>
        <patternFill patternType="solid">
          <fgColor rgb="FFECEFF1"/>
          <bgColor rgb="FF000000"/>
        </patternFill>
      </fill>
    </dxf>
    <dxf>
      <font>
        <name val="Arial"/>
        <charset val="1"/>
        <family val="0"/>
        <b val="1"/>
        <color rgb="FF2E7D32"/>
        <sz val="10"/>
      </font>
      <fill>
        <patternFill>
          <bgColor rgb="FFC8E6C9"/>
        </patternFill>
      </fill>
    </dxf>
    <dxf>
      <font>
        <name val="Arial"/>
        <charset val="1"/>
        <family val="0"/>
        <b val="1"/>
        <color rgb="FFC62828"/>
        <sz val="10"/>
      </font>
      <fill>
        <patternFill>
          <bgColor rgb="FFFFCDD2"/>
        </patternFill>
      </fill>
    </dxf>
    <dxf>
      <font>
        <name val="Arial"/>
        <charset val="1"/>
        <family val="0"/>
        <b val="1"/>
        <color rgb="FFF57F17"/>
        <sz val="10"/>
      </font>
      <fill>
        <patternFill>
          <bgColor rgb="FFFFF9C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7BF"/>
      <rgbColor rgb="FF808080"/>
      <rgbColor rgb="FF9999FF"/>
      <rgbColor rgb="FF993366"/>
      <rgbColor rgb="FFFFF9C4"/>
      <rgbColor rgb="FFECEFF1"/>
      <rgbColor rgb="FF660066"/>
      <rgbColor rgb="FFFF8080"/>
      <rgbColor rgb="FF0066CC"/>
      <rgbColor rgb="FFD5DBE5"/>
      <rgbColor rgb="FF000080"/>
      <rgbColor rgb="FFFF00FF"/>
      <rgbColor rgb="FFFFFF00"/>
      <rgbColor rgb="FF00FFFF"/>
      <rgbColor rgb="FF800080"/>
      <rgbColor rgb="FF800000"/>
      <rgbColor rgb="FF008080"/>
      <rgbColor rgb="FF0000FF"/>
      <rgbColor rgb="FF00CCFF"/>
      <rgbColor rgb="FFF4F6F8"/>
      <rgbColor rgb="FFC8E6C9"/>
      <rgbColor rgb="FFFFFF99"/>
      <rgbColor rgb="FF99CCFF"/>
      <rgbColor rgb="FFFF99CC"/>
      <rgbColor rgb="FFCC99FF"/>
      <rgbColor rgb="FFFFCDD2"/>
      <rgbColor rgb="FF3366FF"/>
      <rgbColor rgb="FF33CCCC"/>
      <rgbColor rgb="FF99CC00"/>
      <rgbColor rgb="FFFFCC00"/>
      <rgbColor rgb="FFFF9900"/>
      <rgbColor rgb="FFF57F17"/>
      <rgbColor rgb="FF595959"/>
      <rgbColor rgb="FF969696"/>
      <rgbColor rgb="FF1E2761"/>
      <rgbColor rgb="FF2E7D32"/>
      <rgbColor rgb="FF003300"/>
      <rgbColor rgb="FF333300"/>
      <rgbColor rgb="FFC6282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0"/>
    <col collapsed="false" customWidth="true" hidden="false" outlineLevel="0" max="5" min="3" style="0" width="15"/>
  </cols>
  <sheetData>
    <row r="1" customFormat="false" ht="33.85" hidden="false" customHeight="false" outlineLevel="0" collapsed="false">
      <c r="A1" s="1" t="s">
        <v>0</v>
      </c>
      <c r="B1" s="1"/>
      <c r="C1" s="1"/>
      <c r="D1" s="1"/>
      <c r="E1" s="1"/>
    </row>
    <row r="2" customFormat="false" ht="19.7" hidden="false" customHeight="false" outlineLevel="0" collapsed="false">
      <c r="A2" s="2" t="s">
        <v>1</v>
      </c>
      <c r="B2" s="2"/>
      <c r="C2" s="2"/>
      <c r="D2" s="2"/>
      <c r="E2" s="2"/>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t="s">
        <v>10</v>
      </c>
      <c r="B8" s="4" t="s">
        <v>11</v>
      </c>
    </row>
    <row r="9" customFormat="false" ht="15" hidden="false" customHeight="false" outlineLevel="0" collapsed="false">
      <c r="A9" s="3" t="s">
        <v>12</v>
      </c>
      <c r="B9" s="4" t="s">
        <v>13</v>
      </c>
    </row>
    <row r="11" customFormat="false" ht="17.35" hidden="false" customHeight="false" outlineLevel="0" collapsed="false">
      <c r="A11" s="5" t="s">
        <v>14</v>
      </c>
    </row>
    <row r="12" customFormat="false" ht="60" hidden="false" customHeight="true" outlineLevel="0" collapsed="false">
      <c r="A12" s="6" t="s">
        <v>15</v>
      </c>
      <c r="B12" s="6"/>
      <c r="C12" s="6"/>
      <c r="D12" s="6"/>
      <c r="E12" s="6"/>
    </row>
    <row r="14" customFormat="false" ht="17.35" hidden="false" customHeight="false" outlineLevel="0" collapsed="false">
      <c r="A14" s="5" t="s">
        <v>16</v>
      </c>
    </row>
    <row r="15" customFormat="false" ht="15" hidden="false" customHeight="false" outlineLevel="0" collapsed="false">
      <c r="A15" s="7" t="s">
        <v>17</v>
      </c>
      <c r="B15" s="7" t="s">
        <v>18</v>
      </c>
    </row>
    <row r="16" customFormat="false" ht="15" hidden="false" customHeight="false" outlineLevel="0" collapsed="false">
      <c r="A16" s="8" t="s">
        <v>19</v>
      </c>
      <c r="B16" s="9" t="s">
        <v>20</v>
      </c>
    </row>
    <row r="17" customFormat="false" ht="26.85" hidden="false" customHeight="false" outlineLevel="0" collapsed="false">
      <c r="A17" s="10" t="s">
        <v>21</v>
      </c>
      <c r="B17" s="11" t="s">
        <v>22</v>
      </c>
    </row>
    <row r="18" customFormat="false" ht="15" hidden="false" customHeight="false" outlineLevel="0" collapsed="false">
      <c r="A18" s="8" t="s">
        <v>23</v>
      </c>
      <c r="B18" s="9" t="s">
        <v>24</v>
      </c>
    </row>
    <row r="19" customFormat="false" ht="26.85" hidden="false" customHeight="false" outlineLevel="0" collapsed="false">
      <c r="A19" s="10" t="s">
        <v>25</v>
      </c>
      <c r="B19" s="11" t="s">
        <v>26</v>
      </c>
    </row>
    <row r="20" customFormat="false" ht="15" hidden="false" customHeight="false" outlineLevel="0" collapsed="false">
      <c r="A20" s="8" t="s">
        <v>27</v>
      </c>
      <c r="B20" s="9" t="s">
        <v>28</v>
      </c>
    </row>
    <row r="21" customFormat="false" ht="26.85" hidden="false" customHeight="false" outlineLevel="0" collapsed="false">
      <c r="A21" s="10" t="s">
        <v>29</v>
      </c>
      <c r="B21" s="11" t="s">
        <v>30</v>
      </c>
    </row>
    <row r="22" customFormat="false" ht="15" hidden="false" customHeight="false" outlineLevel="0" collapsed="false">
      <c r="A22" s="8" t="s">
        <v>31</v>
      </c>
      <c r="B22" s="9" t="s">
        <v>32</v>
      </c>
    </row>
    <row r="23" customFormat="false" ht="15" hidden="false" customHeight="false" outlineLevel="0" collapsed="false">
      <c r="A23" s="10" t="s">
        <v>33</v>
      </c>
      <c r="B23" s="11" t="s">
        <v>34</v>
      </c>
    </row>
  </sheetData>
  <mergeCells count="3">
    <mergeCell ref="A1:E1"/>
    <mergeCell ref="A2:E2"/>
    <mergeCell ref="A12:E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6"/>
    <col collapsed="false" customWidth="true" hidden="false" outlineLevel="0" max="4" min="4" style="0" width="50"/>
    <col collapsed="false" customWidth="true" hidden="false" outlineLevel="0" max="5" min="5" style="0" width="18"/>
    <col collapsed="false" customWidth="true" hidden="false" outlineLevel="0" max="6" min="6" style="0" width="28"/>
    <col collapsed="false" customWidth="true" hidden="false" outlineLevel="0" max="7" min="7" style="0" width="36"/>
    <col collapsed="false" customWidth="true" hidden="false" outlineLevel="0" max="8" min="8" style="0" width="9"/>
    <col collapsed="false" customWidth="true" hidden="false" outlineLevel="0" max="12" min="9" style="0" width="5"/>
    <col collapsed="false" customWidth="true" hidden="false" outlineLevel="0" max="13" min="13" style="0" width="10"/>
    <col collapsed="false" customWidth="true" hidden="false" outlineLevel="0" max="14" min="14" style="0" width="9"/>
    <col collapsed="false" customWidth="true" hidden="false" outlineLevel="0" max="15" min="15" style="0" width="8"/>
    <col collapsed="false" customWidth="true" hidden="false" outlineLevel="0" max="16" min="16" style="0" width="9"/>
    <col collapsed="false" customWidth="true" hidden="false" outlineLevel="0" max="17" min="17" style="0" width="14"/>
    <col collapsed="false" customWidth="true" hidden="false" outlineLevel="0" max="18" min="18" style="0" width="18"/>
  </cols>
  <sheetData>
    <row r="1" customFormat="false" ht="42" hidden="false" customHeight="true" outlineLevel="0" collapsed="false">
      <c r="A1" s="7" t="s">
        <v>35</v>
      </c>
      <c r="B1" s="7" t="s">
        <v>36</v>
      </c>
      <c r="C1" s="7" t="s">
        <v>37</v>
      </c>
      <c r="D1" s="7" t="s">
        <v>38</v>
      </c>
      <c r="E1" s="7" t="s">
        <v>39</v>
      </c>
      <c r="F1" s="7" t="s">
        <v>40</v>
      </c>
      <c r="G1" s="7" t="s">
        <v>41</v>
      </c>
      <c r="H1" s="7" t="s">
        <v>42</v>
      </c>
      <c r="I1" s="7" t="s">
        <v>43</v>
      </c>
      <c r="J1" s="7" t="s">
        <v>44</v>
      </c>
      <c r="K1" s="7" t="s">
        <v>45</v>
      </c>
      <c r="L1" s="7" t="s">
        <v>46</v>
      </c>
      <c r="M1" s="7" t="s">
        <v>47</v>
      </c>
      <c r="N1" s="7" t="s">
        <v>48</v>
      </c>
      <c r="O1" s="7" t="s">
        <v>49</v>
      </c>
      <c r="P1" s="7" t="s">
        <v>50</v>
      </c>
      <c r="Q1" s="7" t="s">
        <v>51</v>
      </c>
      <c r="R1" s="7" t="s">
        <v>52</v>
      </c>
    </row>
    <row r="2" customFormat="false" ht="23.85" hidden="false" customHeight="false" outlineLevel="0" collapsed="false">
      <c r="A2" s="12" t="s">
        <v>53</v>
      </c>
      <c r="B2" s="13" t="s">
        <v>54</v>
      </c>
      <c r="C2" s="13" t="s">
        <v>55</v>
      </c>
      <c r="D2" s="13" t="s">
        <v>56</v>
      </c>
      <c r="E2" s="13" t="s">
        <v>57</v>
      </c>
      <c r="F2" s="13" t="s">
        <v>58</v>
      </c>
      <c r="G2" s="13" t="s">
        <v>59</v>
      </c>
      <c r="H2" s="13" t="n">
        <v>7</v>
      </c>
      <c r="I2" s="13" t="n">
        <v>1</v>
      </c>
      <c r="J2" s="13"/>
      <c r="K2" s="13" t="n">
        <v>2</v>
      </c>
      <c r="L2" s="13" t="n">
        <v>4</v>
      </c>
      <c r="M2" s="13" t="n">
        <f aca="false">SUMPRODUCT(ISNUMBER(MATCH('Execution Log'!A2:A159,{"TC-020","TC-021","TC-022","TC-023","TC-024","TC-025","TC-026"},0))*('Execution Log'!F2:F159&lt;&gt;"Not Run"))</f>
        <v>0</v>
      </c>
      <c r="N2" s="13" t="n">
        <f aca="false">SUMPRODUCT(ISNUMBER(MATCH('Execution Log'!A2:A159,{"TC-020","TC-021","TC-022","TC-023","TC-024","TC-025","TC-026"},0))*('Execution Log'!F2:F159="Pass"))</f>
        <v>0</v>
      </c>
      <c r="O2" s="13" t="n">
        <f aca="false">SUMPRODUCT(ISNUMBER(MATCH('Execution Log'!A2:A159,{"TC-020","TC-021","TC-022","TC-023","TC-024","TC-025","TC-026"},0))*('Execution Log'!F2:F159="Fail"))</f>
        <v>0</v>
      </c>
      <c r="P2" s="13" t="n">
        <f aca="false">SUMPRODUCT(ISNUMBER(MATCH('Execution Log'!A2:A159,{"TC-020","TC-021","TC-022","TC-023","TC-024","TC-025","TC-026"},0))*('Execution Log'!F2:F159="Blocked"))</f>
        <v>0</v>
      </c>
      <c r="Q2" s="14" t="s">
        <v>60</v>
      </c>
      <c r="R2" s="13" t="n">
        <f aca="false">SUMPRODUCT(ISNUMBER(MATCH('Execution Log'!A2:A159,{"TC-020","TC-021","TC-022","TC-023","TC-024","TC-025","TC-026"},0))*('Execution Log'!I2:I159&lt;&gt;""))</f>
        <v>0</v>
      </c>
    </row>
    <row r="3" customFormat="false" ht="23.85" hidden="false" customHeight="false" outlineLevel="0" collapsed="false">
      <c r="A3" s="15" t="s">
        <v>61</v>
      </c>
      <c r="B3" s="16" t="s">
        <v>54</v>
      </c>
      <c r="C3" s="16" t="s">
        <v>55</v>
      </c>
      <c r="D3" s="16" t="s">
        <v>62</v>
      </c>
      <c r="E3" s="16" t="s">
        <v>57</v>
      </c>
      <c r="F3" s="16" t="s">
        <v>63</v>
      </c>
      <c r="G3" s="16" t="s">
        <v>64</v>
      </c>
      <c r="H3" s="16" t="n">
        <v>5</v>
      </c>
      <c r="I3" s="16" t="n">
        <v>1</v>
      </c>
      <c r="J3" s="16"/>
      <c r="K3" s="16" t="n">
        <v>1</v>
      </c>
      <c r="L3" s="16" t="n">
        <v>3</v>
      </c>
      <c r="M3" s="16" t="n">
        <f aca="false">SUMPRODUCT(ISNUMBER(MATCH('Execution Log'!A2:A159,{"TC-021","TC-022","TC-024","TC-025","TC-026"},0))*('Execution Log'!F2:F159&lt;&gt;"Not Run"))</f>
        <v>0</v>
      </c>
      <c r="N3" s="16" t="n">
        <f aca="false">SUMPRODUCT(ISNUMBER(MATCH('Execution Log'!A2:A159,{"TC-021","TC-022","TC-024","TC-025","TC-026"},0))*('Execution Log'!F2:F159="Pass"))</f>
        <v>0</v>
      </c>
      <c r="O3" s="16" t="n">
        <f aca="false">SUMPRODUCT(ISNUMBER(MATCH('Execution Log'!A2:A159,{"TC-021","TC-022","TC-024","TC-025","TC-026"},0))*('Execution Log'!F2:F159="Fail"))</f>
        <v>0</v>
      </c>
      <c r="P3" s="16" t="n">
        <f aca="false">SUMPRODUCT(ISNUMBER(MATCH('Execution Log'!A2:A159,{"TC-021","TC-022","TC-024","TC-025","TC-026"},0))*('Execution Log'!F2:F159="Blocked"))</f>
        <v>0</v>
      </c>
      <c r="Q3" s="14" t="s">
        <v>60</v>
      </c>
      <c r="R3" s="16" t="n">
        <f aca="false">SUMPRODUCT(ISNUMBER(MATCH('Execution Log'!A2:A159,{"TC-021","TC-022","TC-024","TC-025","TC-026"},0))*('Execution Log'!I2:I159&lt;&gt;""))</f>
        <v>0</v>
      </c>
    </row>
    <row r="4" customFormat="false" ht="23.85" hidden="false" customHeight="false" outlineLevel="0" collapsed="false">
      <c r="A4" s="12" t="s">
        <v>65</v>
      </c>
      <c r="B4" s="13" t="s">
        <v>54</v>
      </c>
      <c r="C4" s="13" t="s">
        <v>55</v>
      </c>
      <c r="D4" s="13" t="s">
        <v>66</v>
      </c>
      <c r="E4" s="13" t="s">
        <v>67</v>
      </c>
      <c r="F4" s="13" t="s">
        <v>68</v>
      </c>
      <c r="G4" s="13" t="s">
        <v>69</v>
      </c>
      <c r="H4" s="13" t="n">
        <v>4</v>
      </c>
      <c r="I4" s="13"/>
      <c r="J4" s="13" t="n">
        <v>2</v>
      </c>
      <c r="K4" s="13" t="n">
        <v>1</v>
      </c>
      <c r="L4" s="13" t="n">
        <v>1</v>
      </c>
      <c r="M4" s="13" t="n">
        <f aca="false">SUMPRODUCT(ISNUMBER(MATCH('Execution Log'!A2:A159,{"TC-010","TC-011","TC-012","TC-013"},0))*('Execution Log'!F2:F159&lt;&gt;"Not Run"))</f>
        <v>0</v>
      </c>
      <c r="N4" s="13" t="n">
        <f aca="false">SUMPRODUCT(ISNUMBER(MATCH('Execution Log'!A2:A159,{"TC-010","TC-011","TC-012","TC-013"},0))*('Execution Log'!F2:F159="Pass"))</f>
        <v>0</v>
      </c>
      <c r="O4" s="13" t="n">
        <f aca="false">SUMPRODUCT(ISNUMBER(MATCH('Execution Log'!A2:A159,{"TC-010","TC-011","TC-012","TC-013"},0))*('Execution Log'!F2:F159="Fail"))</f>
        <v>0</v>
      </c>
      <c r="P4" s="13" t="n">
        <f aca="false">SUMPRODUCT(ISNUMBER(MATCH('Execution Log'!A2:A159,{"TC-010","TC-011","TC-012","TC-013"},0))*('Execution Log'!F2:F159="Blocked"))</f>
        <v>0</v>
      </c>
      <c r="Q4" s="14" t="s">
        <v>60</v>
      </c>
      <c r="R4" s="13" t="n">
        <f aca="false">SUMPRODUCT(ISNUMBER(MATCH('Execution Log'!A2:A159,{"TC-010","TC-011","TC-012","TC-013"},0))*('Execution Log'!I2:I159&lt;&gt;""))</f>
        <v>0</v>
      </c>
    </row>
    <row r="5" customFormat="false" ht="23.85" hidden="false" customHeight="false" outlineLevel="0" collapsed="false">
      <c r="A5" s="15" t="s">
        <v>70</v>
      </c>
      <c r="B5" s="16" t="s">
        <v>54</v>
      </c>
      <c r="C5" s="16" t="s">
        <v>71</v>
      </c>
      <c r="D5" s="16" t="s">
        <v>72</v>
      </c>
      <c r="E5" s="16" t="s">
        <v>73</v>
      </c>
      <c r="F5" s="16" t="s">
        <v>74</v>
      </c>
      <c r="G5" s="16" t="s">
        <v>75</v>
      </c>
      <c r="H5" s="16" t="n">
        <v>8</v>
      </c>
      <c r="I5" s="16" t="n">
        <v>3</v>
      </c>
      <c r="J5" s="16" t="n">
        <v>1</v>
      </c>
      <c r="K5" s="16" t="n">
        <v>4</v>
      </c>
      <c r="L5" s="16"/>
      <c r="M5" s="16" t="n">
        <f aca="false">SUMPRODUCT(ISNUMBER(MATCH('Execution Log'!A2:A159,{"TC-030","TC-031","TC-033","TC-034","TC-035","TC-036","TC-037","TC-038"},0))*('Execution Log'!F2:F159&lt;&gt;"Not Run"))</f>
        <v>0</v>
      </c>
      <c r="N5" s="16" t="n">
        <f aca="false">SUMPRODUCT(ISNUMBER(MATCH('Execution Log'!A2:A159,{"TC-030","TC-031","TC-033","TC-034","TC-035","TC-036","TC-037","TC-038"},0))*('Execution Log'!F2:F159="Pass"))</f>
        <v>0</v>
      </c>
      <c r="O5" s="16" t="n">
        <f aca="false">SUMPRODUCT(ISNUMBER(MATCH('Execution Log'!A2:A159,{"TC-030","TC-031","TC-033","TC-034","TC-035","TC-036","TC-037","TC-038"},0))*('Execution Log'!F2:F159="Fail"))</f>
        <v>0</v>
      </c>
      <c r="P5" s="16" t="n">
        <f aca="false">SUMPRODUCT(ISNUMBER(MATCH('Execution Log'!A2:A159,{"TC-030","TC-031","TC-033","TC-034","TC-035","TC-036","TC-037","TC-038"},0))*('Execution Log'!F2:F159="Blocked"))</f>
        <v>0</v>
      </c>
      <c r="Q5" s="14" t="s">
        <v>60</v>
      </c>
      <c r="R5" s="16" t="n">
        <f aca="false">SUMPRODUCT(ISNUMBER(MATCH('Execution Log'!A2:A159,{"TC-030","TC-031","TC-033","TC-034","TC-035","TC-036","TC-037","TC-038"},0))*('Execution Log'!I2:I159&lt;&gt;""))</f>
        <v>0</v>
      </c>
    </row>
    <row r="6" customFormat="false" ht="23.85" hidden="false" customHeight="false" outlineLevel="0" collapsed="false">
      <c r="A6" s="12" t="s">
        <v>76</v>
      </c>
      <c r="B6" s="13" t="s">
        <v>54</v>
      </c>
      <c r="C6" s="13" t="s">
        <v>71</v>
      </c>
      <c r="D6" s="13" t="s">
        <v>77</v>
      </c>
      <c r="E6" s="13" t="s">
        <v>78</v>
      </c>
      <c r="F6" s="13" t="s">
        <v>79</v>
      </c>
      <c r="G6" s="13" t="s">
        <v>80</v>
      </c>
      <c r="H6" s="13" t="n">
        <v>8</v>
      </c>
      <c r="I6" s="13" t="n">
        <v>5</v>
      </c>
      <c r="J6" s="13" t="n">
        <v>1</v>
      </c>
      <c r="K6" s="13"/>
      <c r="L6" s="13" t="n">
        <v>2</v>
      </c>
      <c r="M6" s="13" t="n">
        <f aca="false">SUMPRODUCT(ISNUMBER(MATCH('Execution Log'!A2:A159,{"TC-007","TC-008","TC-030","TC-031","TC-032","TC-034","TC-050","TC-217"},0))*('Execution Log'!F2:F159&lt;&gt;"Not Run"))</f>
        <v>0</v>
      </c>
      <c r="N6" s="13" t="n">
        <f aca="false">SUMPRODUCT(ISNUMBER(MATCH('Execution Log'!A2:A159,{"TC-007","TC-008","TC-030","TC-031","TC-032","TC-034","TC-050","TC-217"},0))*('Execution Log'!F2:F159="Pass"))</f>
        <v>0</v>
      </c>
      <c r="O6" s="13" t="n">
        <f aca="false">SUMPRODUCT(ISNUMBER(MATCH('Execution Log'!A2:A159,{"TC-007","TC-008","TC-030","TC-031","TC-032","TC-034","TC-050","TC-217"},0))*('Execution Log'!F2:F159="Fail"))</f>
        <v>0</v>
      </c>
      <c r="P6" s="13" t="n">
        <f aca="false">SUMPRODUCT(ISNUMBER(MATCH('Execution Log'!A2:A159,{"TC-007","TC-008","TC-030","TC-031","TC-032","TC-034","TC-050","TC-217"},0))*('Execution Log'!F2:F159="Blocked"))</f>
        <v>0</v>
      </c>
      <c r="Q6" s="14" t="s">
        <v>60</v>
      </c>
      <c r="R6" s="13" t="n">
        <f aca="false">SUMPRODUCT(ISNUMBER(MATCH('Execution Log'!A2:A159,{"TC-007","TC-008","TC-030","TC-031","TC-032","TC-034","TC-050","TC-217"},0))*('Execution Log'!I2:I159&lt;&gt;""))</f>
        <v>0</v>
      </c>
    </row>
    <row r="7" customFormat="false" ht="23.85" hidden="false" customHeight="false" outlineLevel="0" collapsed="false">
      <c r="A7" s="15" t="s">
        <v>81</v>
      </c>
      <c r="B7" s="16" t="s">
        <v>54</v>
      </c>
      <c r="C7" s="16" t="s">
        <v>71</v>
      </c>
      <c r="D7" s="16" t="s">
        <v>82</v>
      </c>
      <c r="E7" s="16" t="s">
        <v>83</v>
      </c>
      <c r="F7" s="16" t="s">
        <v>84</v>
      </c>
      <c r="G7" s="16" t="s">
        <v>85</v>
      </c>
      <c r="H7" s="16" t="n">
        <v>5</v>
      </c>
      <c r="I7" s="16"/>
      <c r="J7" s="16" t="n">
        <v>1</v>
      </c>
      <c r="K7" s="16" t="n">
        <v>1</v>
      </c>
      <c r="L7" s="16" t="n">
        <v>3</v>
      </c>
      <c r="M7" s="16" t="n">
        <f aca="false">SUMPRODUCT(ISNUMBER(MATCH('Execution Log'!A2:A159,{"TC-050","TC-051","TC-078","TC-094","TC-169"},0))*('Execution Log'!F2:F159&lt;&gt;"Not Run"))</f>
        <v>0</v>
      </c>
      <c r="N7" s="16" t="n">
        <f aca="false">SUMPRODUCT(ISNUMBER(MATCH('Execution Log'!A2:A159,{"TC-050","TC-051","TC-078","TC-094","TC-169"},0))*('Execution Log'!F2:F159="Pass"))</f>
        <v>0</v>
      </c>
      <c r="O7" s="16" t="n">
        <f aca="false">SUMPRODUCT(ISNUMBER(MATCH('Execution Log'!A2:A159,{"TC-050","TC-051","TC-078","TC-094","TC-169"},0))*('Execution Log'!F2:F159="Fail"))</f>
        <v>0</v>
      </c>
      <c r="P7" s="16" t="n">
        <f aca="false">SUMPRODUCT(ISNUMBER(MATCH('Execution Log'!A2:A159,{"TC-050","TC-051","TC-078","TC-094","TC-169"},0))*('Execution Log'!F2:F159="Blocked"))</f>
        <v>0</v>
      </c>
      <c r="Q7" s="14" t="s">
        <v>60</v>
      </c>
      <c r="R7" s="16" t="n">
        <f aca="false">SUMPRODUCT(ISNUMBER(MATCH('Execution Log'!A2:A159,{"TC-050","TC-051","TC-078","TC-094","TC-169"},0))*('Execution Log'!I2:I159&lt;&gt;""))</f>
        <v>0</v>
      </c>
    </row>
    <row r="8" customFormat="false" ht="23.85" hidden="false" customHeight="false" outlineLevel="0" collapsed="false">
      <c r="A8" s="12" t="s">
        <v>86</v>
      </c>
      <c r="B8" s="13" t="s">
        <v>54</v>
      </c>
      <c r="C8" s="13" t="s">
        <v>71</v>
      </c>
      <c r="D8" s="13" t="s">
        <v>87</v>
      </c>
      <c r="E8" s="13" t="s">
        <v>88</v>
      </c>
      <c r="F8" s="13" t="s">
        <v>89</v>
      </c>
      <c r="G8" s="13" t="s">
        <v>90</v>
      </c>
      <c r="H8" s="13" t="n">
        <v>6</v>
      </c>
      <c r="I8" s="13" t="n">
        <v>1</v>
      </c>
      <c r="J8" s="13" t="n">
        <v>2</v>
      </c>
      <c r="K8" s="13" t="n">
        <v>3</v>
      </c>
      <c r="L8" s="13"/>
      <c r="M8" s="13" t="n">
        <f aca="false">SUMPRODUCT(ISNUMBER(MATCH('Execution Log'!A2:A159,{"TC-060","TC-061","TC-062","TC-063","TC-064","TC-091"},0))*('Execution Log'!F2:F159&lt;&gt;"Not Run"))</f>
        <v>0</v>
      </c>
      <c r="N8" s="13" t="n">
        <f aca="false">SUMPRODUCT(ISNUMBER(MATCH('Execution Log'!A2:A159,{"TC-060","TC-061","TC-062","TC-063","TC-064","TC-091"},0))*('Execution Log'!F2:F159="Pass"))</f>
        <v>0</v>
      </c>
      <c r="O8" s="13" t="n">
        <f aca="false">SUMPRODUCT(ISNUMBER(MATCH('Execution Log'!A2:A159,{"TC-060","TC-061","TC-062","TC-063","TC-064","TC-091"},0))*('Execution Log'!F2:F159="Fail"))</f>
        <v>0</v>
      </c>
      <c r="P8" s="13" t="n">
        <f aca="false">SUMPRODUCT(ISNUMBER(MATCH('Execution Log'!A2:A159,{"TC-060","TC-061","TC-062","TC-063","TC-064","TC-091"},0))*('Execution Log'!F2:F159="Blocked"))</f>
        <v>0</v>
      </c>
      <c r="Q8" s="14" t="s">
        <v>60</v>
      </c>
      <c r="R8" s="13" t="n">
        <f aca="false">SUMPRODUCT(ISNUMBER(MATCH('Execution Log'!A2:A159,{"TC-060","TC-061","TC-062","TC-063","TC-064","TC-091"},0))*('Execution Log'!I2:I159&lt;&gt;""))</f>
        <v>0</v>
      </c>
    </row>
    <row r="9" customFormat="false" ht="23.85" hidden="false" customHeight="false" outlineLevel="0" collapsed="false">
      <c r="A9" s="15" t="s">
        <v>91</v>
      </c>
      <c r="B9" s="16" t="s">
        <v>54</v>
      </c>
      <c r="C9" s="16" t="s">
        <v>71</v>
      </c>
      <c r="D9" s="16" t="s">
        <v>92</v>
      </c>
      <c r="E9" s="16" t="s">
        <v>83</v>
      </c>
      <c r="F9" s="16" t="s">
        <v>93</v>
      </c>
      <c r="G9" s="16" t="s">
        <v>94</v>
      </c>
      <c r="H9" s="16" t="n">
        <v>10</v>
      </c>
      <c r="I9" s="16"/>
      <c r="J9" s="16" t="n">
        <v>2</v>
      </c>
      <c r="K9" s="16" t="n">
        <v>3</v>
      </c>
      <c r="L9" s="16" t="n">
        <v>5</v>
      </c>
      <c r="M9" s="16" t="n">
        <f aca="false">SUMPRODUCT(ISNUMBER(MATCH('Execution Log'!A2:A159,{"TC-070","TC-071","TC-072","TC-073","TC-074","TC-075","TC-076","TC-077","TC-078","TC-079"},0))*('Execution Log'!F2:F159&lt;&gt;"Not Run"))</f>
        <v>0</v>
      </c>
      <c r="N9" s="16" t="n">
        <f aca="false">SUMPRODUCT(ISNUMBER(MATCH('Execution Log'!A2:A159,{"TC-070","TC-071","TC-072","TC-073","TC-074","TC-075","TC-076","TC-077","TC-078","TC-079"},0))*('Execution Log'!F2:F159="Pass"))</f>
        <v>0</v>
      </c>
      <c r="O9" s="16" t="n">
        <f aca="false">SUMPRODUCT(ISNUMBER(MATCH('Execution Log'!A2:A159,{"TC-070","TC-071","TC-072","TC-073","TC-074","TC-075","TC-076","TC-077","TC-078","TC-079"},0))*('Execution Log'!F2:F159="Fail"))</f>
        <v>0</v>
      </c>
      <c r="P9" s="16" t="n">
        <f aca="false">SUMPRODUCT(ISNUMBER(MATCH('Execution Log'!A2:A159,{"TC-070","TC-071","TC-072","TC-073","TC-074","TC-075","TC-076","TC-077","TC-078","TC-079"},0))*('Execution Log'!F2:F159="Blocked"))</f>
        <v>0</v>
      </c>
      <c r="Q9" s="14" t="s">
        <v>60</v>
      </c>
      <c r="R9" s="16" t="n">
        <f aca="false">SUMPRODUCT(ISNUMBER(MATCH('Execution Log'!A2:A159,{"TC-070","TC-071","TC-072","TC-073","TC-074","TC-075","TC-076","TC-077","TC-078","TC-079"},0))*('Execution Log'!I2:I159&lt;&gt;""))</f>
        <v>0</v>
      </c>
    </row>
    <row r="10" customFormat="false" ht="46.25" hidden="false" customHeight="false" outlineLevel="0" collapsed="false">
      <c r="A10" s="12" t="s">
        <v>95</v>
      </c>
      <c r="B10" s="13" t="s">
        <v>54</v>
      </c>
      <c r="C10" s="13" t="s">
        <v>71</v>
      </c>
      <c r="D10" s="13" t="s">
        <v>96</v>
      </c>
      <c r="E10" s="13" t="s">
        <v>97</v>
      </c>
      <c r="F10" s="13" t="s">
        <v>98</v>
      </c>
      <c r="G10" s="13" t="s">
        <v>99</v>
      </c>
      <c r="H10" s="13" t="n">
        <v>19</v>
      </c>
      <c r="I10" s="13" t="n">
        <v>8</v>
      </c>
      <c r="J10" s="13" t="n">
        <v>4</v>
      </c>
      <c r="K10" s="13" t="n">
        <v>6</v>
      </c>
      <c r="L10" s="13" t="n">
        <v>1</v>
      </c>
      <c r="M10" s="13" t="n">
        <f aca="false">SUMPRODUCT(ISNUMBER(MATCH('Execution Log'!A2:A159,{"TC-041","TC-042","TC-043","TC-044","TC-045","TC-080","TC-081","TC-082","TC-083","TC-084","TC-086","TC-087","TC-088","TC-091","TC-092","TC-093","TC-094","TC-095","TC-096"},0))*('Execution Log'!F2:F159&lt;&gt;"Not Run"))</f>
        <v>0</v>
      </c>
      <c r="N10" s="13" t="n">
        <f aca="false">SUMPRODUCT(ISNUMBER(MATCH('Execution Log'!A2:A159,{"TC-041","TC-042","TC-043","TC-044","TC-045","TC-080","TC-081","TC-082","TC-083","TC-084","TC-086","TC-087","TC-088","TC-091","TC-092","TC-093","TC-094","TC-095","TC-096"},0))*('Execution Log'!F2:F159="Pass"))</f>
        <v>0</v>
      </c>
      <c r="O10" s="13" t="n">
        <f aca="false">SUMPRODUCT(ISNUMBER(MATCH('Execution Log'!A2:A159,{"TC-041","TC-042","TC-043","TC-044","TC-045","TC-080","TC-081","TC-082","TC-083","TC-084","TC-086","TC-087","TC-088","TC-091","TC-092","TC-093","TC-094","TC-095","TC-096"},0))*('Execution Log'!F2:F159="Fail"))</f>
        <v>0</v>
      </c>
      <c r="P10" s="13" t="n">
        <f aca="false">SUMPRODUCT(ISNUMBER(MATCH('Execution Log'!A2:A159,{"TC-041","TC-042","TC-043","TC-044","TC-045","TC-080","TC-081","TC-082","TC-083","TC-084","TC-086","TC-087","TC-088","TC-091","TC-092","TC-093","TC-094","TC-095","TC-096"},0))*('Execution Log'!F2:F159="Blocked"))</f>
        <v>0</v>
      </c>
      <c r="Q10" s="14" t="s">
        <v>60</v>
      </c>
      <c r="R10" s="13" t="n">
        <f aca="false">SUMPRODUCT(ISNUMBER(MATCH('Execution Log'!A2:A159,{"TC-041","TC-042","TC-043","TC-044","TC-045","TC-080","TC-081","TC-082","TC-083","TC-084","TC-086","TC-087","TC-088","TC-091","TC-092","TC-093","TC-094","TC-095","TC-096"},0))*('Execution Log'!I2:I159&lt;&gt;""))</f>
        <v>0</v>
      </c>
    </row>
    <row r="11" customFormat="false" ht="35.05" hidden="false" customHeight="false" outlineLevel="0" collapsed="false">
      <c r="A11" s="15" t="s">
        <v>100</v>
      </c>
      <c r="B11" s="16" t="s">
        <v>54</v>
      </c>
      <c r="C11" s="16" t="s">
        <v>71</v>
      </c>
      <c r="D11" s="16" t="s">
        <v>101</v>
      </c>
      <c r="E11" s="16" t="s">
        <v>102</v>
      </c>
      <c r="F11" s="16" t="s">
        <v>103</v>
      </c>
      <c r="G11" s="16" t="s">
        <v>104</v>
      </c>
      <c r="H11" s="16" t="n">
        <v>12</v>
      </c>
      <c r="I11" s="16" t="n">
        <v>5</v>
      </c>
      <c r="J11" s="16" t="n">
        <v>5</v>
      </c>
      <c r="K11" s="16" t="n">
        <v>2</v>
      </c>
      <c r="L11" s="16"/>
      <c r="M11" s="16" t="n">
        <f aca="false">SUMPRODUCT(ISNUMBER(MATCH('Execution Log'!A2:A159,{"TC-043","TC-061","TC-062","TC-079","TC-080","TC-081","TC-083","TC-085","TC-089","TC-090","TC-095","TC-096"},0))*('Execution Log'!F2:F159&lt;&gt;"Not Run"))</f>
        <v>0</v>
      </c>
      <c r="N11" s="16" t="n">
        <f aca="false">SUMPRODUCT(ISNUMBER(MATCH('Execution Log'!A2:A159,{"TC-043","TC-061","TC-062","TC-079","TC-080","TC-081","TC-083","TC-085","TC-089","TC-090","TC-095","TC-096"},0))*('Execution Log'!F2:F159="Pass"))</f>
        <v>0</v>
      </c>
      <c r="O11" s="16" t="n">
        <f aca="false">SUMPRODUCT(ISNUMBER(MATCH('Execution Log'!A2:A159,{"TC-043","TC-061","TC-062","TC-079","TC-080","TC-081","TC-083","TC-085","TC-089","TC-090","TC-095","TC-096"},0))*('Execution Log'!F2:F159="Fail"))</f>
        <v>0</v>
      </c>
      <c r="P11" s="16" t="n">
        <f aca="false">SUMPRODUCT(ISNUMBER(MATCH('Execution Log'!A2:A159,{"TC-043","TC-061","TC-062","TC-079","TC-080","TC-081","TC-083","TC-085","TC-089","TC-090","TC-095","TC-096"},0))*('Execution Log'!F2:F159="Blocked"))</f>
        <v>0</v>
      </c>
      <c r="Q11" s="14" t="s">
        <v>60</v>
      </c>
      <c r="R11" s="16" t="n">
        <f aca="false">SUMPRODUCT(ISNUMBER(MATCH('Execution Log'!A2:A159,{"TC-043","TC-061","TC-062","TC-079","TC-080","TC-081","TC-083","TC-085","TC-089","TC-090","TC-095","TC-096"},0))*('Execution Log'!I2:I159&lt;&gt;""))</f>
        <v>0</v>
      </c>
    </row>
    <row r="12" customFormat="false" ht="35.05" hidden="false" customHeight="false" outlineLevel="0" collapsed="false">
      <c r="A12" s="12" t="s">
        <v>105</v>
      </c>
      <c r="B12" s="13" t="s">
        <v>54</v>
      </c>
      <c r="C12" s="13" t="s">
        <v>106</v>
      </c>
      <c r="D12" s="13" t="s">
        <v>107</v>
      </c>
      <c r="E12" s="13" t="s">
        <v>108</v>
      </c>
      <c r="F12" s="13" t="s">
        <v>109</v>
      </c>
      <c r="G12" s="13" t="s">
        <v>110</v>
      </c>
      <c r="H12" s="13" t="n">
        <v>14</v>
      </c>
      <c r="I12" s="13" t="n">
        <v>1</v>
      </c>
      <c r="J12" s="13" t="n">
        <v>8</v>
      </c>
      <c r="K12" s="13" t="n">
        <v>5</v>
      </c>
      <c r="L12" s="13"/>
      <c r="M12" s="13" t="n">
        <f aca="false">SUMPRODUCT(ISNUMBER(MATCH('Execution Log'!A2:A159,{"TC-110","TC-111","TC-112","TC-113","TC-114","TC-115","TC-116","TC-117","TC-118","TC-119","TC-120","TC-121","TC-122","TC-123"},0))*('Execution Log'!F2:F159&lt;&gt;"Not Run"))</f>
        <v>0</v>
      </c>
      <c r="N12" s="13" t="n">
        <f aca="false">SUMPRODUCT(ISNUMBER(MATCH('Execution Log'!A2:A159,{"TC-110","TC-111","TC-112","TC-113","TC-114","TC-115","TC-116","TC-117","TC-118","TC-119","TC-120","TC-121","TC-122","TC-123"},0))*('Execution Log'!F2:F159="Pass"))</f>
        <v>0</v>
      </c>
      <c r="O12" s="13" t="n">
        <f aca="false">SUMPRODUCT(ISNUMBER(MATCH('Execution Log'!A2:A159,{"TC-110","TC-111","TC-112","TC-113","TC-114","TC-115","TC-116","TC-117","TC-118","TC-119","TC-120","TC-121","TC-122","TC-123"},0))*('Execution Log'!F2:F159="Fail"))</f>
        <v>0</v>
      </c>
      <c r="P12" s="13" t="n">
        <f aca="false">SUMPRODUCT(ISNUMBER(MATCH('Execution Log'!A2:A159,{"TC-110","TC-111","TC-112","TC-113","TC-114","TC-115","TC-116","TC-117","TC-118","TC-119","TC-120","TC-121","TC-122","TC-123"},0))*('Execution Log'!F2:F159="Blocked"))</f>
        <v>0</v>
      </c>
      <c r="Q12" s="14" t="s">
        <v>60</v>
      </c>
      <c r="R12" s="13" t="n">
        <f aca="false">SUMPRODUCT(ISNUMBER(MATCH('Execution Log'!A2:A159,{"TC-110","TC-111","TC-112","TC-113","TC-114","TC-115","TC-116","TC-117","TC-118","TC-119","TC-120","TC-121","TC-122","TC-123"},0))*('Execution Log'!I2:I159&lt;&gt;""))</f>
        <v>0</v>
      </c>
    </row>
    <row r="13" customFormat="false" ht="23.85" hidden="false" customHeight="false" outlineLevel="0" collapsed="false">
      <c r="A13" s="15" t="s">
        <v>111</v>
      </c>
      <c r="B13" s="16" t="s">
        <v>54</v>
      </c>
      <c r="C13" s="16" t="s">
        <v>106</v>
      </c>
      <c r="D13" s="16" t="s">
        <v>112</v>
      </c>
      <c r="E13" s="16" t="s">
        <v>113</v>
      </c>
      <c r="F13" s="16" t="s">
        <v>114</v>
      </c>
      <c r="G13" s="16" t="s">
        <v>115</v>
      </c>
      <c r="H13" s="16" t="n">
        <v>9</v>
      </c>
      <c r="I13" s="16"/>
      <c r="J13" s="16" t="n">
        <v>5</v>
      </c>
      <c r="K13" s="16" t="n">
        <v>3</v>
      </c>
      <c r="L13" s="16" t="n">
        <v>1</v>
      </c>
      <c r="M13" s="16" t="n">
        <f aca="false">SUMPRODUCT(ISNUMBER(MATCH('Execution Log'!A2:A159,{"TC-130","TC-131","TC-132","TC-133","TC-134","TC-135","TC-136","TC-137","TC-138"},0))*('Execution Log'!F2:F159&lt;&gt;"Not Run"))</f>
        <v>0</v>
      </c>
      <c r="N13" s="16" t="n">
        <f aca="false">SUMPRODUCT(ISNUMBER(MATCH('Execution Log'!A2:A159,{"TC-130","TC-131","TC-132","TC-133","TC-134","TC-135","TC-136","TC-137","TC-138"},0))*('Execution Log'!F2:F159="Pass"))</f>
        <v>0</v>
      </c>
      <c r="O13" s="16" t="n">
        <f aca="false">SUMPRODUCT(ISNUMBER(MATCH('Execution Log'!A2:A159,{"TC-130","TC-131","TC-132","TC-133","TC-134","TC-135","TC-136","TC-137","TC-138"},0))*('Execution Log'!F2:F159="Fail"))</f>
        <v>0</v>
      </c>
      <c r="P13" s="16" t="n">
        <f aca="false">SUMPRODUCT(ISNUMBER(MATCH('Execution Log'!A2:A159,{"TC-130","TC-131","TC-132","TC-133","TC-134","TC-135","TC-136","TC-137","TC-138"},0))*('Execution Log'!F2:F159="Blocked"))</f>
        <v>0</v>
      </c>
      <c r="Q13" s="14" t="s">
        <v>60</v>
      </c>
      <c r="R13" s="16" t="n">
        <f aca="false">SUMPRODUCT(ISNUMBER(MATCH('Execution Log'!A2:A159,{"TC-130","TC-131","TC-132","TC-133","TC-134","TC-135","TC-136","TC-137","TC-138"},0))*('Execution Log'!I2:I159&lt;&gt;""))</f>
        <v>0</v>
      </c>
    </row>
    <row r="14" customFormat="false" ht="23.85" hidden="false" customHeight="false" outlineLevel="0" collapsed="false">
      <c r="A14" s="12" t="s">
        <v>116</v>
      </c>
      <c r="B14" s="13" t="s">
        <v>54</v>
      </c>
      <c r="C14" s="13" t="s">
        <v>106</v>
      </c>
      <c r="D14" s="13" t="s">
        <v>117</v>
      </c>
      <c r="E14" s="13" t="s">
        <v>118</v>
      </c>
      <c r="F14" s="13" t="s">
        <v>119</v>
      </c>
      <c r="G14" s="13" t="s">
        <v>120</v>
      </c>
      <c r="H14" s="13" t="n">
        <v>8</v>
      </c>
      <c r="I14" s="13" t="n">
        <v>2</v>
      </c>
      <c r="J14" s="13" t="n">
        <v>1</v>
      </c>
      <c r="K14" s="13" t="n">
        <v>5</v>
      </c>
      <c r="L14" s="13"/>
      <c r="M14" s="13" t="n">
        <f aca="false">SUMPRODUCT(ISNUMBER(MATCH('Execution Log'!A2:A159,{"TC-111","TC-140","TC-141","TC-142","TC-143","TC-144","TC-145","TC-146"},0))*('Execution Log'!F2:F159&lt;&gt;"Not Run"))</f>
        <v>0</v>
      </c>
      <c r="N14" s="13" t="n">
        <f aca="false">SUMPRODUCT(ISNUMBER(MATCH('Execution Log'!A2:A159,{"TC-111","TC-140","TC-141","TC-142","TC-143","TC-144","TC-145","TC-146"},0))*('Execution Log'!F2:F159="Pass"))</f>
        <v>0</v>
      </c>
      <c r="O14" s="13" t="n">
        <f aca="false">SUMPRODUCT(ISNUMBER(MATCH('Execution Log'!A2:A159,{"TC-111","TC-140","TC-141","TC-142","TC-143","TC-144","TC-145","TC-146"},0))*('Execution Log'!F2:F159="Fail"))</f>
        <v>0</v>
      </c>
      <c r="P14" s="13" t="n">
        <f aca="false">SUMPRODUCT(ISNUMBER(MATCH('Execution Log'!A2:A159,{"TC-111","TC-140","TC-141","TC-142","TC-143","TC-144","TC-145","TC-146"},0))*('Execution Log'!F2:F159="Blocked"))</f>
        <v>0</v>
      </c>
      <c r="Q14" s="14" t="s">
        <v>60</v>
      </c>
      <c r="R14" s="13" t="n">
        <f aca="false">SUMPRODUCT(ISNUMBER(MATCH('Execution Log'!A2:A159,{"TC-111","TC-140","TC-141","TC-142","TC-143","TC-144","TC-145","TC-146"},0))*('Execution Log'!I2:I159&lt;&gt;""))</f>
        <v>0</v>
      </c>
    </row>
    <row r="15" customFormat="false" ht="23.85" hidden="false" customHeight="false" outlineLevel="0" collapsed="false">
      <c r="A15" s="15" t="s">
        <v>121</v>
      </c>
      <c r="B15" s="16" t="s">
        <v>54</v>
      </c>
      <c r="C15" s="16" t="s">
        <v>122</v>
      </c>
      <c r="D15" s="16" t="s">
        <v>123</v>
      </c>
      <c r="E15" s="16" t="s">
        <v>124</v>
      </c>
      <c r="F15" s="16" t="s">
        <v>125</v>
      </c>
      <c r="G15" s="16" t="s">
        <v>126</v>
      </c>
      <c r="H15" s="16" t="n">
        <v>8</v>
      </c>
      <c r="I15" s="16"/>
      <c r="J15" s="16" t="n">
        <v>3</v>
      </c>
      <c r="K15" s="16" t="n">
        <v>3</v>
      </c>
      <c r="L15" s="16" t="n">
        <v>2</v>
      </c>
      <c r="M15" s="16" t="n">
        <f aca="false">SUMPRODUCT(ISNUMBER(MATCH('Execution Log'!A2:A159,{"TC-100","TC-101","TC-102","TC-103","TC-104","TC-106","TC-107","TC-108"},0))*('Execution Log'!F2:F159&lt;&gt;"Not Run"))</f>
        <v>0</v>
      </c>
      <c r="N15" s="16" t="n">
        <f aca="false">SUMPRODUCT(ISNUMBER(MATCH('Execution Log'!A2:A159,{"TC-100","TC-101","TC-102","TC-103","TC-104","TC-106","TC-107","TC-108"},0))*('Execution Log'!F2:F159="Pass"))</f>
        <v>0</v>
      </c>
      <c r="O15" s="16" t="n">
        <f aca="false">SUMPRODUCT(ISNUMBER(MATCH('Execution Log'!A2:A159,{"TC-100","TC-101","TC-102","TC-103","TC-104","TC-106","TC-107","TC-108"},0))*('Execution Log'!F2:F159="Fail"))</f>
        <v>0</v>
      </c>
      <c r="P15" s="16" t="n">
        <f aca="false">SUMPRODUCT(ISNUMBER(MATCH('Execution Log'!A2:A159,{"TC-100","TC-101","TC-102","TC-103","TC-104","TC-106","TC-107","TC-108"},0))*('Execution Log'!F2:F159="Blocked"))</f>
        <v>0</v>
      </c>
      <c r="Q15" s="14" t="s">
        <v>60</v>
      </c>
      <c r="R15" s="16" t="n">
        <f aca="false">SUMPRODUCT(ISNUMBER(MATCH('Execution Log'!A2:A159,{"TC-100","TC-101","TC-102","TC-103","TC-104","TC-106","TC-107","TC-108"},0))*('Execution Log'!I2:I159&lt;&gt;""))</f>
        <v>0</v>
      </c>
    </row>
    <row r="16" customFormat="false" ht="15" hidden="false" customHeight="false" outlineLevel="0" collapsed="false">
      <c r="A16" s="12" t="s">
        <v>127</v>
      </c>
      <c r="B16" s="13" t="s">
        <v>54</v>
      </c>
      <c r="C16" s="13" t="s">
        <v>122</v>
      </c>
      <c r="D16" s="13" t="s">
        <v>128</v>
      </c>
      <c r="E16" s="13" t="s">
        <v>129</v>
      </c>
      <c r="F16" s="13" t="s">
        <v>130</v>
      </c>
      <c r="G16" s="13" t="s">
        <v>131</v>
      </c>
      <c r="H16" s="13" t="n">
        <v>1</v>
      </c>
      <c r="I16" s="13"/>
      <c r="J16" s="13"/>
      <c r="K16" s="13"/>
      <c r="L16" s="13" t="n">
        <v>1</v>
      </c>
      <c r="M16" s="13" t="n">
        <f aca="false">SUMPRODUCT(ISNUMBER(MATCH('Execution Log'!A2:A159,{"TC-230"},0))*('Execution Log'!F2:F159&lt;&gt;"Not Run"))</f>
        <v>0</v>
      </c>
      <c r="N16" s="13" t="n">
        <f aca="false">SUMPRODUCT(ISNUMBER(MATCH('Execution Log'!A2:A159,{"TC-230"},0))*('Execution Log'!F2:F159="Pass"))</f>
        <v>0</v>
      </c>
      <c r="O16" s="13" t="n">
        <f aca="false">SUMPRODUCT(ISNUMBER(MATCH('Execution Log'!A2:A159,{"TC-230"},0))*('Execution Log'!F2:F159="Fail"))</f>
        <v>0</v>
      </c>
      <c r="P16" s="13" t="n">
        <f aca="false">SUMPRODUCT(ISNUMBER(MATCH('Execution Log'!A2:A159,{"TC-230"},0))*('Execution Log'!F2:F159="Blocked"))</f>
        <v>0</v>
      </c>
      <c r="Q16" s="14" t="s">
        <v>60</v>
      </c>
      <c r="R16" s="13" t="n">
        <f aca="false">SUMPRODUCT(ISNUMBER(MATCH('Execution Log'!A2:A159,{"TC-230"},0))*('Execution Log'!I2:I159&lt;&gt;""))</f>
        <v>0</v>
      </c>
    </row>
    <row r="17" customFormat="false" ht="23.85" hidden="false" customHeight="false" outlineLevel="0" collapsed="false">
      <c r="A17" s="15" t="s">
        <v>132</v>
      </c>
      <c r="B17" s="16" t="s">
        <v>54</v>
      </c>
      <c r="C17" s="16" t="s">
        <v>133</v>
      </c>
      <c r="D17" s="16" t="s">
        <v>134</v>
      </c>
      <c r="E17" s="16" t="s">
        <v>135</v>
      </c>
      <c r="F17" s="16" t="s">
        <v>136</v>
      </c>
      <c r="G17" s="16" t="s">
        <v>137</v>
      </c>
      <c r="H17" s="16" t="n">
        <v>6</v>
      </c>
      <c r="I17" s="16" t="n">
        <v>2</v>
      </c>
      <c r="J17" s="16"/>
      <c r="K17" s="16"/>
      <c r="L17" s="16" t="n">
        <v>4</v>
      </c>
      <c r="M17" s="16" t="n">
        <f aca="false">SUMPRODUCT(ISNUMBER(MATCH('Execution Log'!A2:A159,{"TC-001","TC-002","TC-005","TC-008","TC-009","TC-245"},0))*('Execution Log'!F2:F159&lt;&gt;"Not Run"))</f>
        <v>0</v>
      </c>
      <c r="N17" s="16" t="n">
        <f aca="false">SUMPRODUCT(ISNUMBER(MATCH('Execution Log'!A2:A159,{"TC-001","TC-002","TC-005","TC-008","TC-009","TC-245"},0))*('Execution Log'!F2:F159="Pass"))</f>
        <v>0</v>
      </c>
      <c r="O17" s="16" t="n">
        <f aca="false">SUMPRODUCT(ISNUMBER(MATCH('Execution Log'!A2:A159,{"TC-001","TC-002","TC-005","TC-008","TC-009","TC-245"},0))*('Execution Log'!F2:F159="Fail"))</f>
        <v>0</v>
      </c>
      <c r="P17" s="16" t="n">
        <f aca="false">SUMPRODUCT(ISNUMBER(MATCH('Execution Log'!A2:A159,{"TC-001","TC-002","TC-005","TC-008","TC-009","TC-245"},0))*('Execution Log'!F2:F159="Blocked"))</f>
        <v>0</v>
      </c>
      <c r="Q17" s="14" t="s">
        <v>60</v>
      </c>
      <c r="R17" s="16" t="n">
        <f aca="false">SUMPRODUCT(ISNUMBER(MATCH('Execution Log'!A2:A159,{"TC-001","TC-002","TC-005","TC-008","TC-009","TC-245"},0))*('Execution Log'!I2:I159&lt;&gt;""))</f>
        <v>0</v>
      </c>
    </row>
    <row r="18" customFormat="false" ht="15" hidden="false" customHeight="false" outlineLevel="0" collapsed="false">
      <c r="A18" s="12" t="s">
        <v>138</v>
      </c>
      <c r="B18" s="13" t="s">
        <v>54</v>
      </c>
      <c r="C18" s="13" t="s">
        <v>133</v>
      </c>
      <c r="D18" s="13" t="s">
        <v>139</v>
      </c>
      <c r="E18" s="13" t="s">
        <v>135</v>
      </c>
      <c r="F18" s="13" t="s">
        <v>140</v>
      </c>
      <c r="G18" s="13" t="s">
        <v>141</v>
      </c>
      <c r="H18" s="13" t="n">
        <v>1</v>
      </c>
      <c r="I18" s="13"/>
      <c r="J18" s="13"/>
      <c r="K18" s="13" t="n">
        <v>1</v>
      </c>
      <c r="L18" s="13"/>
      <c r="M18" s="13" t="n">
        <f aca="false">SUMPRODUCT(ISNUMBER(MATCH('Execution Log'!A2:A159,{"TC-003"},0))*('Execution Log'!F2:F159&lt;&gt;"Not Run"))</f>
        <v>0</v>
      </c>
      <c r="N18" s="13" t="n">
        <f aca="false">SUMPRODUCT(ISNUMBER(MATCH('Execution Log'!A2:A159,{"TC-003"},0))*('Execution Log'!F2:F159="Pass"))</f>
        <v>0</v>
      </c>
      <c r="O18" s="13" t="n">
        <f aca="false">SUMPRODUCT(ISNUMBER(MATCH('Execution Log'!A2:A159,{"TC-003"},0))*('Execution Log'!F2:F159="Fail"))</f>
        <v>0</v>
      </c>
      <c r="P18" s="13" t="n">
        <f aca="false">SUMPRODUCT(ISNUMBER(MATCH('Execution Log'!A2:A159,{"TC-003"},0))*('Execution Log'!F2:F159="Blocked"))</f>
        <v>0</v>
      </c>
      <c r="Q18" s="14" t="s">
        <v>60</v>
      </c>
      <c r="R18" s="13" t="n">
        <f aca="false">SUMPRODUCT(ISNUMBER(MATCH('Execution Log'!A2:A159,{"TC-003"},0))*('Execution Log'!I2:I159&lt;&gt;""))</f>
        <v>0</v>
      </c>
    </row>
    <row r="19" customFormat="false" ht="15" hidden="false" customHeight="false" outlineLevel="0" collapsed="false">
      <c r="A19" s="15" t="s">
        <v>142</v>
      </c>
      <c r="B19" s="16" t="s">
        <v>54</v>
      </c>
      <c r="C19" s="16" t="s">
        <v>133</v>
      </c>
      <c r="D19" s="16" t="s">
        <v>143</v>
      </c>
      <c r="E19" s="16" t="s">
        <v>135</v>
      </c>
      <c r="F19" s="16" t="s">
        <v>144</v>
      </c>
      <c r="G19" s="16" t="s">
        <v>145</v>
      </c>
      <c r="H19" s="16" t="n">
        <v>2</v>
      </c>
      <c r="I19" s="16" t="n">
        <v>1</v>
      </c>
      <c r="J19" s="16"/>
      <c r="K19" s="16" t="n">
        <v>1</v>
      </c>
      <c r="L19" s="16"/>
      <c r="M19" s="16" t="n">
        <f aca="false">SUMPRODUCT(ISNUMBER(MATCH('Execution Log'!A2:A159,{"TC-002","TC-004"},0))*('Execution Log'!F2:F159&lt;&gt;"Not Run"))</f>
        <v>0</v>
      </c>
      <c r="N19" s="16" t="n">
        <f aca="false">SUMPRODUCT(ISNUMBER(MATCH('Execution Log'!A2:A159,{"TC-002","TC-004"},0))*('Execution Log'!F2:F159="Pass"))</f>
        <v>0</v>
      </c>
      <c r="O19" s="16" t="n">
        <f aca="false">SUMPRODUCT(ISNUMBER(MATCH('Execution Log'!A2:A159,{"TC-002","TC-004"},0))*('Execution Log'!F2:F159="Fail"))</f>
        <v>0</v>
      </c>
      <c r="P19" s="16" t="n">
        <f aca="false">SUMPRODUCT(ISNUMBER(MATCH('Execution Log'!A2:A159,{"TC-002","TC-004"},0))*('Execution Log'!F2:F159="Blocked"))</f>
        <v>0</v>
      </c>
      <c r="Q19" s="14" t="s">
        <v>60</v>
      </c>
      <c r="R19" s="16" t="n">
        <f aca="false">SUMPRODUCT(ISNUMBER(MATCH('Execution Log'!A2:A159,{"TC-002","TC-004"},0))*('Execution Log'!I2:I159&lt;&gt;""))</f>
        <v>0</v>
      </c>
    </row>
    <row r="20" customFormat="false" ht="15" hidden="false" customHeight="false" outlineLevel="0" collapsed="false">
      <c r="A20" s="12" t="s">
        <v>146</v>
      </c>
      <c r="B20" s="13" t="s">
        <v>147</v>
      </c>
      <c r="C20" s="13" t="s">
        <v>148</v>
      </c>
      <c r="D20" s="13" t="s">
        <v>149</v>
      </c>
      <c r="E20" s="13" t="s">
        <v>150</v>
      </c>
      <c r="F20" s="13" t="s">
        <v>151</v>
      </c>
      <c r="G20" s="13" t="s">
        <v>152</v>
      </c>
      <c r="H20" s="13" t="n">
        <v>5</v>
      </c>
      <c r="I20" s="13" t="n">
        <v>2</v>
      </c>
      <c r="J20" s="13" t="n">
        <v>2</v>
      </c>
      <c r="K20" s="13" t="n">
        <v>1</v>
      </c>
      <c r="L20" s="13"/>
      <c r="M20" s="13" t="n">
        <f aca="false">SUMPRODUCT(ISNUMBER(MATCH('Execution Log'!A2:A159,{"TC-070","TC-101","TC-111","TC-140","TC-143"},0))*('Execution Log'!F2:F159&lt;&gt;"Not Run"))</f>
        <v>0</v>
      </c>
      <c r="N20" s="13" t="n">
        <f aca="false">SUMPRODUCT(ISNUMBER(MATCH('Execution Log'!A2:A159,{"TC-070","TC-101","TC-111","TC-140","TC-143"},0))*('Execution Log'!F2:F159="Pass"))</f>
        <v>0</v>
      </c>
      <c r="O20" s="13" t="n">
        <f aca="false">SUMPRODUCT(ISNUMBER(MATCH('Execution Log'!A2:A159,{"TC-070","TC-101","TC-111","TC-140","TC-143"},0))*('Execution Log'!F2:F159="Fail"))</f>
        <v>0</v>
      </c>
      <c r="P20" s="13" t="n">
        <f aca="false">SUMPRODUCT(ISNUMBER(MATCH('Execution Log'!A2:A159,{"TC-070","TC-101","TC-111","TC-140","TC-143"},0))*('Execution Log'!F2:F159="Blocked"))</f>
        <v>0</v>
      </c>
      <c r="Q20" s="14" t="s">
        <v>60</v>
      </c>
      <c r="R20" s="13" t="n">
        <f aca="false">SUMPRODUCT(ISNUMBER(MATCH('Execution Log'!A2:A159,{"TC-070","TC-101","TC-111","TC-140","TC-143"},0))*('Execution Log'!I2:I159&lt;&gt;""))</f>
        <v>0</v>
      </c>
    </row>
    <row r="21" customFormat="false" ht="15" hidden="false" customHeight="false" outlineLevel="0" collapsed="false">
      <c r="A21" s="15" t="s">
        <v>153</v>
      </c>
      <c r="B21" s="16" t="s">
        <v>147</v>
      </c>
      <c r="C21" s="16" t="s">
        <v>148</v>
      </c>
      <c r="D21" s="16" t="s">
        <v>154</v>
      </c>
      <c r="E21" s="16" t="s">
        <v>155</v>
      </c>
      <c r="F21" s="16" t="s">
        <v>156</v>
      </c>
      <c r="G21" s="16" t="s">
        <v>157</v>
      </c>
      <c r="H21" s="16" t="n">
        <v>3</v>
      </c>
      <c r="I21" s="16" t="n">
        <v>1</v>
      </c>
      <c r="J21" s="16"/>
      <c r="K21" s="16" t="n">
        <v>1</v>
      </c>
      <c r="L21" s="16" t="n">
        <v>1</v>
      </c>
      <c r="M21" s="16" t="n">
        <f aca="false">SUMPRODUCT(ISNUMBER(MATCH('Execution Log'!A2:A159,{"TC-001","TC-170","TC-206"},0))*('Execution Log'!F2:F159&lt;&gt;"Not Run"))</f>
        <v>0</v>
      </c>
      <c r="N21" s="16" t="n">
        <f aca="false">SUMPRODUCT(ISNUMBER(MATCH('Execution Log'!A2:A159,{"TC-001","TC-170","TC-206"},0))*('Execution Log'!F2:F159="Pass"))</f>
        <v>0</v>
      </c>
      <c r="O21" s="16" t="n">
        <f aca="false">SUMPRODUCT(ISNUMBER(MATCH('Execution Log'!A2:A159,{"TC-001","TC-170","TC-206"},0))*('Execution Log'!F2:F159="Fail"))</f>
        <v>0</v>
      </c>
      <c r="P21" s="16" t="n">
        <f aca="false">SUMPRODUCT(ISNUMBER(MATCH('Execution Log'!A2:A159,{"TC-001","TC-170","TC-206"},0))*('Execution Log'!F2:F159="Blocked"))</f>
        <v>0</v>
      </c>
      <c r="Q21" s="14" t="s">
        <v>60</v>
      </c>
      <c r="R21" s="16" t="n">
        <f aca="false">SUMPRODUCT(ISNUMBER(MATCH('Execution Log'!A2:A159,{"TC-001","TC-170","TC-206"},0))*('Execution Log'!I2:I159&lt;&gt;""))</f>
        <v>0</v>
      </c>
    </row>
    <row r="22" customFormat="false" ht="23.85" hidden="false" customHeight="false" outlineLevel="0" collapsed="false">
      <c r="A22" s="12" t="s">
        <v>158</v>
      </c>
      <c r="B22" s="13" t="s">
        <v>147</v>
      </c>
      <c r="C22" s="13" t="s">
        <v>148</v>
      </c>
      <c r="D22" s="13" t="s">
        <v>159</v>
      </c>
      <c r="E22" s="13" t="s">
        <v>160</v>
      </c>
      <c r="F22" s="13" t="s">
        <v>161</v>
      </c>
      <c r="G22" s="13" t="s">
        <v>162</v>
      </c>
      <c r="H22" s="13" t="n">
        <v>1</v>
      </c>
      <c r="I22" s="13"/>
      <c r="J22" s="13"/>
      <c r="K22" s="13" t="n">
        <v>1</v>
      </c>
      <c r="L22" s="13"/>
      <c r="M22" s="13" t="n">
        <f aca="false">SUMPRODUCT(ISNUMBER(MATCH('Execution Log'!A2:A159,{"TC-143"},0))*('Execution Log'!F2:F159&lt;&gt;"Not Run"))</f>
        <v>0</v>
      </c>
      <c r="N22" s="13" t="n">
        <f aca="false">SUMPRODUCT(ISNUMBER(MATCH('Execution Log'!A2:A159,{"TC-143"},0))*('Execution Log'!F2:F159="Pass"))</f>
        <v>0</v>
      </c>
      <c r="O22" s="13" t="n">
        <f aca="false">SUMPRODUCT(ISNUMBER(MATCH('Execution Log'!A2:A159,{"TC-143"},0))*('Execution Log'!F2:F159="Fail"))</f>
        <v>0</v>
      </c>
      <c r="P22" s="13" t="n">
        <f aca="false">SUMPRODUCT(ISNUMBER(MATCH('Execution Log'!A2:A159,{"TC-143"},0))*('Execution Log'!F2:F159="Blocked"))</f>
        <v>0</v>
      </c>
      <c r="Q22" s="14" t="s">
        <v>60</v>
      </c>
      <c r="R22" s="13" t="n">
        <f aca="false">SUMPRODUCT(ISNUMBER(MATCH('Execution Log'!A2:A159,{"TC-143"},0))*('Execution Log'!I2:I159&lt;&gt;""))</f>
        <v>0</v>
      </c>
    </row>
    <row r="23" customFormat="false" ht="15" hidden="false" customHeight="false" outlineLevel="0" collapsed="false">
      <c r="A23" s="15" t="s">
        <v>163</v>
      </c>
      <c r="B23" s="16" t="s">
        <v>147</v>
      </c>
      <c r="C23" s="16" t="s">
        <v>164</v>
      </c>
      <c r="D23" s="16" t="s">
        <v>165</v>
      </c>
      <c r="E23" s="16" t="s">
        <v>166</v>
      </c>
      <c r="F23" s="16" t="s">
        <v>167</v>
      </c>
      <c r="G23" s="16" t="s">
        <v>168</v>
      </c>
      <c r="H23" s="16" t="n">
        <v>4</v>
      </c>
      <c r="I23" s="16"/>
      <c r="J23" s="16" t="n">
        <v>2</v>
      </c>
      <c r="K23" s="16"/>
      <c r="L23" s="16" t="n">
        <v>2</v>
      </c>
      <c r="M23" s="16" t="n">
        <f aca="false">SUMPRODUCT(ISNUMBER(MATCH('Execution Log'!A2:A159,{"TC-180","TC-181","TC-240","TC-241"},0))*('Execution Log'!F2:F159&lt;&gt;"Not Run"))</f>
        <v>0</v>
      </c>
      <c r="N23" s="16" t="n">
        <f aca="false">SUMPRODUCT(ISNUMBER(MATCH('Execution Log'!A2:A159,{"TC-180","TC-181","TC-240","TC-241"},0))*('Execution Log'!F2:F159="Pass"))</f>
        <v>0</v>
      </c>
      <c r="O23" s="16" t="n">
        <f aca="false">SUMPRODUCT(ISNUMBER(MATCH('Execution Log'!A2:A159,{"TC-180","TC-181","TC-240","TC-241"},0))*('Execution Log'!F2:F159="Fail"))</f>
        <v>0</v>
      </c>
      <c r="P23" s="16" t="n">
        <f aca="false">SUMPRODUCT(ISNUMBER(MATCH('Execution Log'!A2:A159,{"TC-180","TC-181","TC-240","TC-241"},0))*('Execution Log'!F2:F159="Blocked"))</f>
        <v>0</v>
      </c>
      <c r="Q23" s="14" t="s">
        <v>60</v>
      </c>
      <c r="R23" s="16" t="n">
        <f aca="false">SUMPRODUCT(ISNUMBER(MATCH('Execution Log'!A2:A159,{"TC-180","TC-181","TC-240","TC-241"},0))*('Execution Log'!I2:I159&lt;&gt;""))</f>
        <v>0</v>
      </c>
    </row>
    <row r="24" customFormat="false" ht="15" hidden="false" customHeight="false" outlineLevel="0" collapsed="false">
      <c r="A24" s="12" t="s">
        <v>169</v>
      </c>
      <c r="B24" s="13" t="s">
        <v>147</v>
      </c>
      <c r="C24" s="13" t="s">
        <v>164</v>
      </c>
      <c r="D24" s="13" t="s">
        <v>170</v>
      </c>
      <c r="E24" s="13" t="s">
        <v>166</v>
      </c>
      <c r="F24" s="13" t="s">
        <v>171</v>
      </c>
      <c r="G24" s="13" t="s">
        <v>172</v>
      </c>
      <c r="H24" s="13" t="n">
        <v>2</v>
      </c>
      <c r="I24" s="13"/>
      <c r="J24" s="13" t="n">
        <v>2</v>
      </c>
      <c r="K24" s="13"/>
      <c r="L24" s="13"/>
      <c r="M24" s="13" t="n">
        <f aca="false">SUMPRODUCT(ISNUMBER(MATCH('Execution Log'!A2:A159,{"TC-180","TC-181"},0))*('Execution Log'!F2:F159&lt;&gt;"Not Run"))</f>
        <v>0</v>
      </c>
      <c r="N24" s="13" t="n">
        <f aca="false">SUMPRODUCT(ISNUMBER(MATCH('Execution Log'!A2:A159,{"TC-180","TC-181"},0))*('Execution Log'!F2:F159="Pass"))</f>
        <v>0</v>
      </c>
      <c r="O24" s="13" t="n">
        <f aca="false">SUMPRODUCT(ISNUMBER(MATCH('Execution Log'!A2:A159,{"TC-180","TC-181"},0))*('Execution Log'!F2:F159="Fail"))</f>
        <v>0</v>
      </c>
      <c r="P24" s="13" t="n">
        <f aca="false">SUMPRODUCT(ISNUMBER(MATCH('Execution Log'!A2:A159,{"TC-180","TC-181"},0))*('Execution Log'!F2:F159="Blocked"))</f>
        <v>0</v>
      </c>
      <c r="Q24" s="14" t="s">
        <v>60</v>
      </c>
      <c r="R24" s="13" t="n">
        <f aca="false">SUMPRODUCT(ISNUMBER(MATCH('Execution Log'!A2:A159,{"TC-180","TC-181"},0))*('Execution Log'!I2:I159&lt;&gt;""))</f>
        <v>0</v>
      </c>
    </row>
    <row r="25" customFormat="false" ht="15" hidden="false" customHeight="false" outlineLevel="0" collapsed="false">
      <c r="A25" s="15" t="s">
        <v>173</v>
      </c>
      <c r="B25" s="16" t="s">
        <v>147</v>
      </c>
      <c r="C25" s="16" t="s">
        <v>174</v>
      </c>
      <c r="D25" s="16" t="s">
        <v>175</v>
      </c>
      <c r="E25" s="16" t="s">
        <v>176</v>
      </c>
      <c r="F25" s="16" t="s">
        <v>177</v>
      </c>
      <c r="G25" s="16" t="s">
        <v>178</v>
      </c>
      <c r="H25" s="16" t="n">
        <v>3</v>
      </c>
      <c r="I25" s="16"/>
      <c r="J25" s="16"/>
      <c r="K25" s="16" t="n">
        <v>2</v>
      </c>
      <c r="L25" s="16" t="n">
        <v>1</v>
      </c>
      <c r="M25" s="16" t="n">
        <f aca="false">SUMPRODUCT(ISNUMBER(MATCH('Execution Log'!A2:A159,{"TC-210","TC-213","TC-215"},0))*('Execution Log'!F2:F159&lt;&gt;"Not Run"))</f>
        <v>0</v>
      </c>
      <c r="N25" s="16" t="n">
        <f aca="false">SUMPRODUCT(ISNUMBER(MATCH('Execution Log'!A2:A159,{"TC-210","TC-213","TC-215"},0))*('Execution Log'!F2:F159="Pass"))</f>
        <v>0</v>
      </c>
      <c r="O25" s="16" t="n">
        <f aca="false">SUMPRODUCT(ISNUMBER(MATCH('Execution Log'!A2:A159,{"TC-210","TC-213","TC-215"},0))*('Execution Log'!F2:F159="Fail"))</f>
        <v>0</v>
      </c>
      <c r="P25" s="16" t="n">
        <f aca="false">SUMPRODUCT(ISNUMBER(MATCH('Execution Log'!A2:A159,{"TC-210","TC-213","TC-215"},0))*('Execution Log'!F2:F159="Blocked"))</f>
        <v>0</v>
      </c>
      <c r="Q25" s="14" t="s">
        <v>60</v>
      </c>
      <c r="R25" s="16" t="n">
        <f aca="false">SUMPRODUCT(ISNUMBER(MATCH('Execution Log'!A2:A159,{"TC-210","TC-213","TC-215"},0))*('Execution Log'!I2:I159&lt;&gt;""))</f>
        <v>0</v>
      </c>
    </row>
    <row r="26" customFormat="false" ht="23.85" hidden="false" customHeight="false" outlineLevel="0" collapsed="false">
      <c r="A26" s="12" t="s">
        <v>179</v>
      </c>
      <c r="B26" s="13" t="s">
        <v>147</v>
      </c>
      <c r="C26" s="13" t="s">
        <v>174</v>
      </c>
      <c r="D26" s="13" t="s">
        <v>180</v>
      </c>
      <c r="E26" s="13" t="s">
        <v>176</v>
      </c>
      <c r="F26" s="13" t="s">
        <v>181</v>
      </c>
      <c r="G26" s="13" t="s">
        <v>182</v>
      </c>
      <c r="H26" s="13" t="n">
        <v>7</v>
      </c>
      <c r="I26" s="13"/>
      <c r="J26" s="13"/>
      <c r="K26" s="13" t="n">
        <v>5</v>
      </c>
      <c r="L26" s="13" t="n">
        <v>2</v>
      </c>
      <c r="M26" s="13" t="n">
        <f aca="false">SUMPRODUCT(ISNUMBER(MATCH('Execution Log'!A2:A159,{"TC-121","TC-122","TC-145","TC-211","TC-213","TC-214","TC-216"},0))*('Execution Log'!F2:F159&lt;&gt;"Not Run"))</f>
        <v>0</v>
      </c>
      <c r="N26" s="13" t="n">
        <f aca="false">SUMPRODUCT(ISNUMBER(MATCH('Execution Log'!A2:A159,{"TC-121","TC-122","TC-145","TC-211","TC-213","TC-214","TC-216"},0))*('Execution Log'!F2:F159="Pass"))</f>
        <v>0</v>
      </c>
      <c r="O26" s="13" t="n">
        <f aca="false">SUMPRODUCT(ISNUMBER(MATCH('Execution Log'!A2:A159,{"TC-121","TC-122","TC-145","TC-211","TC-213","TC-214","TC-216"},0))*('Execution Log'!F2:F159="Fail"))</f>
        <v>0</v>
      </c>
      <c r="P26" s="13" t="n">
        <f aca="false">SUMPRODUCT(ISNUMBER(MATCH('Execution Log'!A2:A159,{"TC-121","TC-122","TC-145","TC-211","TC-213","TC-214","TC-216"},0))*('Execution Log'!F2:F159="Blocked"))</f>
        <v>0</v>
      </c>
      <c r="Q26" s="14" t="s">
        <v>60</v>
      </c>
      <c r="R26" s="13" t="n">
        <f aca="false">SUMPRODUCT(ISNUMBER(MATCH('Execution Log'!A2:A159,{"TC-121","TC-122","TC-145","TC-211","TC-213","TC-214","TC-216"},0))*('Execution Log'!I2:I159&lt;&gt;""))</f>
        <v>0</v>
      </c>
    </row>
    <row r="27" customFormat="false" ht="23.85" hidden="false" customHeight="false" outlineLevel="0" collapsed="false">
      <c r="A27" s="15" t="s">
        <v>183</v>
      </c>
      <c r="B27" s="16" t="s">
        <v>147</v>
      </c>
      <c r="C27" s="16" t="s">
        <v>174</v>
      </c>
      <c r="D27" s="16" t="s">
        <v>184</v>
      </c>
      <c r="E27" s="16" t="s">
        <v>176</v>
      </c>
      <c r="F27" s="16" t="s">
        <v>185</v>
      </c>
      <c r="G27" s="16" t="s">
        <v>186</v>
      </c>
      <c r="H27" s="16" t="n">
        <v>3</v>
      </c>
      <c r="I27" s="16"/>
      <c r="J27" s="16"/>
      <c r="K27" s="16" t="n">
        <v>2</v>
      </c>
      <c r="L27" s="16" t="n">
        <v>1</v>
      </c>
      <c r="M27" s="16" t="n">
        <f aca="false">SUMPRODUCT(ISNUMBER(MATCH('Execution Log'!A2:A159,{"TC-212","TC-213","TC-217"},0))*('Execution Log'!F2:F159&lt;&gt;"Not Run"))</f>
        <v>0</v>
      </c>
      <c r="N27" s="16" t="n">
        <f aca="false">SUMPRODUCT(ISNUMBER(MATCH('Execution Log'!A2:A159,{"TC-212","TC-213","TC-217"},0))*('Execution Log'!F2:F159="Pass"))</f>
        <v>0</v>
      </c>
      <c r="O27" s="16" t="n">
        <f aca="false">SUMPRODUCT(ISNUMBER(MATCH('Execution Log'!A2:A159,{"TC-212","TC-213","TC-217"},0))*('Execution Log'!F2:F159="Fail"))</f>
        <v>0</v>
      </c>
      <c r="P27" s="16" t="n">
        <f aca="false">SUMPRODUCT(ISNUMBER(MATCH('Execution Log'!A2:A159,{"TC-212","TC-213","TC-217"},0))*('Execution Log'!F2:F159="Blocked"))</f>
        <v>0</v>
      </c>
      <c r="Q27" s="14" t="s">
        <v>60</v>
      </c>
      <c r="R27" s="16" t="n">
        <f aca="false">SUMPRODUCT(ISNUMBER(MATCH('Execution Log'!A2:A159,{"TC-212","TC-213","TC-217"},0))*('Execution Log'!I2:I159&lt;&gt;""))</f>
        <v>0</v>
      </c>
    </row>
    <row r="28" customFormat="false" ht="15" hidden="false" customHeight="false" outlineLevel="0" collapsed="false">
      <c r="A28" s="17" t="s">
        <v>187</v>
      </c>
      <c r="B28" s="17"/>
      <c r="C28" s="17"/>
      <c r="D28" s="17"/>
      <c r="E28" s="17"/>
      <c r="F28" s="17"/>
      <c r="G28" s="17"/>
      <c r="H28" s="18" t="n">
        <f aca="false">SUM(H2:H27)</f>
        <v>161</v>
      </c>
      <c r="I28" s="18" t="n">
        <f aca="false">SUM(I2:I27)</f>
        <v>33</v>
      </c>
      <c r="J28" s="18" t="n">
        <f aca="false">SUM(J2:J27)</f>
        <v>41</v>
      </c>
      <c r="K28" s="18" t="n">
        <f aca="false">SUM(K2:K27)</f>
        <v>53</v>
      </c>
      <c r="L28" s="18" t="n">
        <f aca="false">SUM(L2:L27)</f>
        <v>34</v>
      </c>
      <c r="M28" s="18" t="n">
        <f aca="false">SUM(M2:M27)</f>
        <v>0</v>
      </c>
      <c r="N28" s="18" t="n">
        <f aca="false">SUM(N2:N27)</f>
        <v>0</v>
      </c>
      <c r="O28" s="18" t="n">
        <f aca="false">SUM(O2:O27)</f>
        <v>0</v>
      </c>
      <c r="P28" s="18" t="n">
        <f aca="false">SUM(P2:P27)</f>
        <v>0</v>
      </c>
      <c r="Q28" s="18" t="str">
        <f aca="false">COUNTIF(Q2:Q27,"Covered")&amp;" of "&amp;26</f>
        <v>26 of 26</v>
      </c>
      <c r="R28" s="18"/>
    </row>
  </sheetData>
  <autoFilter ref="A1:R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60"/>
    <col collapsed="false" customWidth="true" hidden="false" outlineLevel="0" max="4" min="4" style="0" width="9"/>
    <col collapsed="false" customWidth="true" hidden="false" outlineLevel="0" max="5" min="5" style="0" width="14"/>
    <col collapsed="false" customWidth="true" hidden="false" outlineLevel="0" max="6" min="6" style="0" width="12"/>
    <col collapsed="false" customWidth="true" hidden="false" outlineLevel="0" max="7" min="7" style="0" width="22"/>
    <col collapsed="false" customWidth="true" hidden="false" outlineLevel="0" max="8" min="8" style="0" width="40"/>
  </cols>
  <sheetData>
    <row r="1" customFormat="false" ht="31.5" hidden="false" customHeight="true" outlineLevel="0" collapsed="false">
      <c r="A1" s="7" t="s">
        <v>188</v>
      </c>
      <c r="B1" s="7" t="s">
        <v>189</v>
      </c>
      <c r="C1" s="7" t="s">
        <v>190</v>
      </c>
      <c r="D1" s="7" t="s">
        <v>191</v>
      </c>
      <c r="E1" s="7" t="s">
        <v>36</v>
      </c>
      <c r="F1" s="7" t="s">
        <v>192</v>
      </c>
      <c r="G1" s="7" t="s">
        <v>193</v>
      </c>
      <c r="H1" s="7" t="s">
        <v>194</v>
      </c>
    </row>
    <row r="2" customFormat="false" ht="15" hidden="false" customHeight="false" outlineLevel="0" collapsed="false">
      <c r="A2" s="12" t="s">
        <v>195</v>
      </c>
      <c r="B2" s="13" t="s">
        <v>133</v>
      </c>
      <c r="C2" s="13" t="s">
        <v>196</v>
      </c>
      <c r="D2" s="13" t="s">
        <v>43</v>
      </c>
      <c r="E2" s="13" t="s">
        <v>197</v>
      </c>
      <c r="F2" s="13" t="s">
        <v>197</v>
      </c>
      <c r="G2" s="13" t="s">
        <v>132</v>
      </c>
      <c r="H2" s="13" t="s">
        <v>198</v>
      </c>
    </row>
    <row r="3" customFormat="false" ht="15" hidden="false" customHeight="false" outlineLevel="0" collapsed="false">
      <c r="A3" s="15" t="s">
        <v>199</v>
      </c>
      <c r="B3" s="16" t="s">
        <v>133</v>
      </c>
      <c r="C3" s="16" t="s">
        <v>200</v>
      </c>
      <c r="D3" s="16" t="s">
        <v>43</v>
      </c>
      <c r="E3" s="16" t="s">
        <v>54</v>
      </c>
      <c r="F3" s="16" t="s">
        <v>197</v>
      </c>
      <c r="G3" s="16" t="s">
        <v>201</v>
      </c>
      <c r="H3" s="16" t="s">
        <v>202</v>
      </c>
    </row>
    <row r="4" customFormat="false" ht="15" hidden="false" customHeight="false" outlineLevel="0" collapsed="false">
      <c r="A4" s="12" t="s">
        <v>141</v>
      </c>
      <c r="B4" s="13" t="s">
        <v>133</v>
      </c>
      <c r="C4" s="13" t="s">
        <v>203</v>
      </c>
      <c r="D4" s="13" t="s">
        <v>45</v>
      </c>
      <c r="E4" s="13" t="s">
        <v>204</v>
      </c>
      <c r="F4" s="13" t="s">
        <v>205</v>
      </c>
      <c r="G4" s="13" t="s">
        <v>138</v>
      </c>
      <c r="H4" s="13" t="s">
        <v>206</v>
      </c>
    </row>
    <row r="5" customFormat="false" ht="15" hidden="false" customHeight="false" outlineLevel="0" collapsed="false">
      <c r="A5" s="15" t="s">
        <v>207</v>
      </c>
      <c r="B5" s="16" t="s">
        <v>133</v>
      </c>
      <c r="C5" s="16" t="s">
        <v>208</v>
      </c>
      <c r="D5" s="16" t="s">
        <v>45</v>
      </c>
      <c r="E5" s="16" t="s">
        <v>54</v>
      </c>
      <c r="F5" s="16" t="s">
        <v>205</v>
      </c>
      <c r="G5" s="16" t="s">
        <v>142</v>
      </c>
      <c r="H5" s="16" t="s">
        <v>209</v>
      </c>
    </row>
    <row r="6" customFormat="false" ht="15" hidden="false" customHeight="false" outlineLevel="0" collapsed="false">
      <c r="A6" s="12" t="s">
        <v>210</v>
      </c>
      <c r="B6" s="13" t="s">
        <v>133</v>
      </c>
      <c r="C6" s="13" t="s">
        <v>211</v>
      </c>
      <c r="D6" s="13" t="s">
        <v>46</v>
      </c>
      <c r="E6" s="13" t="s">
        <v>204</v>
      </c>
      <c r="F6" s="13" t="s">
        <v>205</v>
      </c>
      <c r="G6" s="13" t="s">
        <v>212</v>
      </c>
      <c r="H6" s="13" t="s">
        <v>213</v>
      </c>
    </row>
    <row r="7" customFormat="false" ht="23.85" hidden="false" customHeight="false" outlineLevel="0" collapsed="false">
      <c r="A7" s="15" t="s">
        <v>214</v>
      </c>
      <c r="B7" s="16" t="s">
        <v>133</v>
      </c>
      <c r="C7" s="16" t="s">
        <v>215</v>
      </c>
      <c r="D7" s="16" t="s">
        <v>46</v>
      </c>
      <c r="E7" s="16" t="s">
        <v>204</v>
      </c>
      <c r="F7" s="16" t="s">
        <v>216</v>
      </c>
      <c r="G7" s="16" t="s">
        <v>217</v>
      </c>
      <c r="H7" s="16" t="s">
        <v>218</v>
      </c>
    </row>
    <row r="8" customFormat="false" ht="23.85" hidden="false" customHeight="false" outlineLevel="0" collapsed="false">
      <c r="A8" s="12" t="s">
        <v>219</v>
      </c>
      <c r="B8" s="13" t="s">
        <v>133</v>
      </c>
      <c r="C8" s="13" t="s">
        <v>220</v>
      </c>
      <c r="D8" s="13" t="s">
        <v>43</v>
      </c>
      <c r="E8" s="13" t="s">
        <v>54</v>
      </c>
      <c r="F8" s="13" t="s">
        <v>197</v>
      </c>
      <c r="G8" s="13" t="s">
        <v>76</v>
      </c>
      <c r="H8" s="13" t="s">
        <v>221</v>
      </c>
    </row>
    <row r="9" customFormat="false" ht="23.85" hidden="false" customHeight="false" outlineLevel="0" collapsed="false">
      <c r="A9" s="15" t="s">
        <v>222</v>
      </c>
      <c r="B9" s="16" t="s">
        <v>133</v>
      </c>
      <c r="C9" s="16" t="s">
        <v>223</v>
      </c>
      <c r="D9" s="16" t="s">
        <v>46</v>
      </c>
      <c r="E9" s="16" t="s">
        <v>224</v>
      </c>
      <c r="F9" s="16" t="s">
        <v>216</v>
      </c>
      <c r="G9" s="16" t="s">
        <v>76</v>
      </c>
      <c r="H9" s="16" t="s">
        <v>225</v>
      </c>
    </row>
    <row r="10" customFormat="false" ht="23.85" hidden="false" customHeight="false" outlineLevel="0" collapsed="false">
      <c r="A10" s="12" t="s">
        <v>226</v>
      </c>
      <c r="B10" s="13" t="s">
        <v>133</v>
      </c>
      <c r="C10" s="13" t="s">
        <v>227</v>
      </c>
      <c r="D10" s="13" t="s">
        <v>46</v>
      </c>
      <c r="E10" s="13" t="s">
        <v>204</v>
      </c>
      <c r="F10" s="13" t="s">
        <v>216</v>
      </c>
      <c r="G10" s="13" t="s">
        <v>212</v>
      </c>
      <c r="H10" s="13" t="s">
        <v>228</v>
      </c>
    </row>
    <row r="11" customFormat="false" ht="15" hidden="false" customHeight="false" outlineLevel="0" collapsed="false">
      <c r="A11" s="15" t="s">
        <v>229</v>
      </c>
      <c r="B11" s="16" t="s">
        <v>230</v>
      </c>
      <c r="C11" s="16" t="s">
        <v>231</v>
      </c>
      <c r="D11" s="16" t="s">
        <v>44</v>
      </c>
      <c r="E11" s="16" t="s">
        <v>204</v>
      </c>
      <c r="F11" s="16" t="s">
        <v>205</v>
      </c>
      <c r="G11" s="16" t="s">
        <v>65</v>
      </c>
      <c r="H11" s="16" t="s">
        <v>232</v>
      </c>
    </row>
    <row r="12" customFormat="false" ht="15" hidden="false" customHeight="false" outlineLevel="0" collapsed="false">
      <c r="A12" s="12" t="s">
        <v>233</v>
      </c>
      <c r="B12" s="13" t="s">
        <v>230</v>
      </c>
      <c r="C12" s="13" t="s">
        <v>234</v>
      </c>
      <c r="D12" s="13" t="s">
        <v>45</v>
      </c>
      <c r="E12" s="13" t="s">
        <v>54</v>
      </c>
      <c r="F12" s="13" t="s">
        <v>205</v>
      </c>
      <c r="G12" s="13" t="s">
        <v>65</v>
      </c>
      <c r="H12" s="13" t="s">
        <v>235</v>
      </c>
    </row>
    <row r="13" customFormat="false" ht="15" hidden="false" customHeight="false" outlineLevel="0" collapsed="false">
      <c r="A13" s="15" t="s">
        <v>236</v>
      </c>
      <c r="B13" s="16" t="s">
        <v>230</v>
      </c>
      <c r="C13" s="16" t="s">
        <v>237</v>
      </c>
      <c r="D13" s="16" t="s">
        <v>46</v>
      </c>
      <c r="E13" s="16" t="s">
        <v>204</v>
      </c>
      <c r="F13" s="16" t="s">
        <v>205</v>
      </c>
      <c r="G13" s="16" t="s">
        <v>212</v>
      </c>
      <c r="H13" s="16" t="s">
        <v>238</v>
      </c>
    </row>
    <row r="14" customFormat="false" ht="23.85" hidden="false" customHeight="false" outlineLevel="0" collapsed="false">
      <c r="A14" s="12" t="s">
        <v>239</v>
      </c>
      <c r="B14" s="13" t="s">
        <v>230</v>
      </c>
      <c r="C14" s="13" t="s">
        <v>240</v>
      </c>
      <c r="D14" s="13" t="s">
        <v>44</v>
      </c>
      <c r="E14" s="13" t="s">
        <v>204</v>
      </c>
      <c r="F14" s="13" t="s">
        <v>205</v>
      </c>
      <c r="G14" s="13" t="s">
        <v>65</v>
      </c>
      <c r="H14" s="13" t="s">
        <v>241</v>
      </c>
    </row>
    <row r="15" customFormat="false" ht="15" hidden="false" customHeight="false" outlineLevel="0" collapsed="false">
      <c r="A15" s="15" t="s">
        <v>242</v>
      </c>
      <c r="B15" s="16" t="s">
        <v>243</v>
      </c>
      <c r="C15" s="16" t="s">
        <v>244</v>
      </c>
      <c r="D15" s="16" t="s">
        <v>45</v>
      </c>
      <c r="E15" s="16" t="s">
        <v>204</v>
      </c>
      <c r="F15" s="16" t="s">
        <v>205</v>
      </c>
      <c r="G15" s="16" t="s">
        <v>53</v>
      </c>
      <c r="H15" s="16" t="s">
        <v>245</v>
      </c>
    </row>
    <row r="16" customFormat="false" ht="23.85" hidden="false" customHeight="false" outlineLevel="0" collapsed="false">
      <c r="A16" s="12" t="s">
        <v>246</v>
      </c>
      <c r="B16" s="13" t="s">
        <v>243</v>
      </c>
      <c r="C16" s="13" t="s">
        <v>247</v>
      </c>
      <c r="D16" s="13" t="s">
        <v>43</v>
      </c>
      <c r="E16" s="13" t="s">
        <v>54</v>
      </c>
      <c r="F16" s="13" t="s">
        <v>205</v>
      </c>
      <c r="G16" s="13" t="s">
        <v>248</v>
      </c>
      <c r="H16" s="13" t="s">
        <v>249</v>
      </c>
    </row>
    <row r="17" customFormat="false" ht="15" hidden="false" customHeight="false" outlineLevel="0" collapsed="false">
      <c r="A17" s="15" t="s">
        <v>250</v>
      </c>
      <c r="B17" s="16" t="s">
        <v>243</v>
      </c>
      <c r="C17" s="16" t="s">
        <v>251</v>
      </c>
      <c r="D17" s="16" t="s">
        <v>45</v>
      </c>
      <c r="E17" s="16" t="s">
        <v>224</v>
      </c>
      <c r="F17" s="16" t="s">
        <v>205</v>
      </c>
      <c r="G17" s="16" t="s">
        <v>61</v>
      </c>
      <c r="H17" s="16" t="s">
        <v>252</v>
      </c>
    </row>
    <row r="18" customFormat="false" ht="15" hidden="false" customHeight="false" outlineLevel="0" collapsed="false">
      <c r="A18" s="12" t="s">
        <v>253</v>
      </c>
      <c r="B18" s="13" t="s">
        <v>243</v>
      </c>
      <c r="C18" s="13" t="s">
        <v>254</v>
      </c>
      <c r="D18" s="13" t="s">
        <v>46</v>
      </c>
      <c r="E18" s="13" t="s">
        <v>204</v>
      </c>
      <c r="F18" s="13" t="s">
        <v>205</v>
      </c>
      <c r="G18" s="13" t="s">
        <v>53</v>
      </c>
      <c r="H18" s="13" t="s">
        <v>255</v>
      </c>
    </row>
    <row r="19" customFormat="false" ht="23.85" hidden="false" customHeight="false" outlineLevel="0" collapsed="false">
      <c r="A19" s="15" t="s">
        <v>256</v>
      </c>
      <c r="B19" s="16" t="s">
        <v>243</v>
      </c>
      <c r="C19" s="16" t="s">
        <v>257</v>
      </c>
      <c r="D19" s="16" t="s">
        <v>46</v>
      </c>
      <c r="E19" s="16" t="s">
        <v>204</v>
      </c>
      <c r="F19" s="16" t="s">
        <v>205</v>
      </c>
      <c r="G19" s="16" t="s">
        <v>61</v>
      </c>
      <c r="H19" s="16" t="s">
        <v>258</v>
      </c>
    </row>
    <row r="20" customFormat="false" ht="23.85" hidden="false" customHeight="false" outlineLevel="0" collapsed="false">
      <c r="A20" s="12" t="s">
        <v>259</v>
      </c>
      <c r="B20" s="13" t="s">
        <v>243</v>
      </c>
      <c r="C20" s="13" t="s">
        <v>260</v>
      </c>
      <c r="D20" s="13" t="s">
        <v>46</v>
      </c>
      <c r="E20" s="13" t="s">
        <v>204</v>
      </c>
      <c r="F20" s="13" t="s">
        <v>216</v>
      </c>
      <c r="G20" s="13" t="s">
        <v>61</v>
      </c>
      <c r="H20" s="13" t="s">
        <v>261</v>
      </c>
    </row>
    <row r="21" customFormat="false" ht="23.85" hidden="false" customHeight="false" outlineLevel="0" collapsed="false">
      <c r="A21" s="15" t="s">
        <v>262</v>
      </c>
      <c r="B21" s="16" t="s">
        <v>243</v>
      </c>
      <c r="C21" s="16" t="s">
        <v>263</v>
      </c>
      <c r="D21" s="16" t="s">
        <v>46</v>
      </c>
      <c r="E21" s="16" t="s">
        <v>264</v>
      </c>
      <c r="F21" s="16" t="s">
        <v>216</v>
      </c>
      <c r="G21" s="16" t="s">
        <v>212</v>
      </c>
      <c r="H21" s="16" t="s">
        <v>265</v>
      </c>
    </row>
    <row r="22" customFormat="false" ht="23.85" hidden="false" customHeight="false" outlineLevel="0" collapsed="false">
      <c r="A22" s="12" t="s">
        <v>266</v>
      </c>
      <c r="B22" s="13" t="s">
        <v>267</v>
      </c>
      <c r="C22" s="13" t="s">
        <v>268</v>
      </c>
      <c r="D22" s="13" t="s">
        <v>43</v>
      </c>
      <c r="E22" s="13" t="s">
        <v>54</v>
      </c>
      <c r="F22" s="13" t="s">
        <v>197</v>
      </c>
      <c r="G22" s="13" t="s">
        <v>269</v>
      </c>
      <c r="H22" s="13" t="s">
        <v>270</v>
      </c>
    </row>
    <row r="23" customFormat="false" ht="23.85" hidden="false" customHeight="false" outlineLevel="0" collapsed="false">
      <c r="A23" s="15" t="s">
        <v>271</v>
      </c>
      <c r="B23" s="16" t="s">
        <v>267</v>
      </c>
      <c r="C23" s="16" t="s">
        <v>272</v>
      </c>
      <c r="D23" s="16" t="s">
        <v>43</v>
      </c>
      <c r="E23" s="16" t="s">
        <v>54</v>
      </c>
      <c r="F23" s="16" t="s">
        <v>197</v>
      </c>
      <c r="G23" s="16" t="s">
        <v>269</v>
      </c>
      <c r="H23" s="16" t="s">
        <v>273</v>
      </c>
    </row>
    <row r="24" customFormat="false" ht="15" hidden="false" customHeight="false" outlineLevel="0" collapsed="false">
      <c r="A24" s="12" t="s">
        <v>274</v>
      </c>
      <c r="B24" s="13" t="s">
        <v>267</v>
      </c>
      <c r="C24" s="13" t="s">
        <v>275</v>
      </c>
      <c r="D24" s="13" t="s">
        <v>43</v>
      </c>
      <c r="E24" s="13" t="s">
        <v>54</v>
      </c>
      <c r="F24" s="13" t="s">
        <v>205</v>
      </c>
      <c r="G24" s="13" t="s">
        <v>76</v>
      </c>
      <c r="H24" s="13" t="s">
        <v>276</v>
      </c>
    </row>
    <row r="25" customFormat="false" ht="23.85" hidden="false" customHeight="false" outlineLevel="0" collapsed="false">
      <c r="A25" s="15" t="s">
        <v>277</v>
      </c>
      <c r="B25" s="16" t="s">
        <v>267</v>
      </c>
      <c r="C25" s="16" t="s">
        <v>278</v>
      </c>
      <c r="D25" s="16" t="s">
        <v>44</v>
      </c>
      <c r="E25" s="16" t="s">
        <v>54</v>
      </c>
      <c r="F25" s="16" t="s">
        <v>205</v>
      </c>
      <c r="G25" s="16" t="s">
        <v>70</v>
      </c>
      <c r="H25" s="16" t="s">
        <v>279</v>
      </c>
    </row>
    <row r="26" customFormat="false" ht="23.85" hidden="false" customHeight="false" outlineLevel="0" collapsed="false">
      <c r="A26" s="12" t="s">
        <v>280</v>
      </c>
      <c r="B26" s="13" t="s">
        <v>267</v>
      </c>
      <c r="C26" s="13" t="s">
        <v>281</v>
      </c>
      <c r="D26" s="13" t="s">
        <v>43</v>
      </c>
      <c r="E26" s="13" t="s">
        <v>282</v>
      </c>
      <c r="F26" s="13" t="s">
        <v>205</v>
      </c>
      <c r="G26" s="13" t="s">
        <v>269</v>
      </c>
      <c r="H26" s="13" t="s">
        <v>283</v>
      </c>
    </row>
    <row r="27" customFormat="false" ht="15" hidden="false" customHeight="false" outlineLevel="0" collapsed="false">
      <c r="A27" s="15" t="s">
        <v>284</v>
      </c>
      <c r="B27" s="16" t="s">
        <v>267</v>
      </c>
      <c r="C27" s="16" t="s">
        <v>285</v>
      </c>
      <c r="D27" s="16" t="s">
        <v>45</v>
      </c>
      <c r="E27" s="16" t="s">
        <v>264</v>
      </c>
      <c r="F27" s="16" t="s">
        <v>216</v>
      </c>
      <c r="G27" s="16" t="s">
        <v>70</v>
      </c>
      <c r="H27" s="16" t="s">
        <v>286</v>
      </c>
    </row>
    <row r="28" customFormat="false" ht="15" hidden="false" customHeight="false" outlineLevel="0" collapsed="false">
      <c r="A28" s="12" t="s">
        <v>287</v>
      </c>
      <c r="B28" s="13" t="s">
        <v>267</v>
      </c>
      <c r="C28" s="13" t="s">
        <v>288</v>
      </c>
      <c r="D28" s="13" t="s">
        <v>45</v>
      </c>
      <c r="E28" s="13" t="s">
        <v>289</v>
      </c>
      <c r="F28" s="13" t="s">
        <v>216</v>
      </c>
      <c r="G28" s="13" t="s">
        <v>212</v>
      </c>
      <c r="H28" s="13" t="s">
        <v>290</v>
      </c>
    </row>
    <row r="29" customFormat="false" ht="15" hidden="false" customHeight="false" outlineLevel="0" collapsed="false">
      <c r="A29" s="15" t="s">
        <v>291</v>
      </c>
      <c r="B29" s="16" t="s">
        <v>267</v>
      </c>
      <c r="C29" s="16" t="s">
        <v>292</v>
      </c>
      <c r="D29" s="16" t="s">
        <v>45</v>
      </c>
      <c r="E29" s="16" t="s">
        <v>54</v>
      </c>
      <c r="F29" s="16" t="s">
        <v>205</v>
      </c>
      <c r="G29" s="16" t="s">
        <v>70</v>
      </c>
      <c r="H29" s="16" t="s">
        <v>293</v>
      </c>
    </row>
    <row r="30" customFormat="false" ht="23.85" hidden="false" customHeight="false" outlineLevel="0" collapsed="false">
      <c r="A30" s="12" t="s">
        <v>294</v>
      </c>
      <c r="B30" s="13" t="s">
        <v>267</v>
      </c>
      <c r="C30" s="13" t="s">
        <v>295</v>
      </c>
      <c r="D30" s="13" t="s">
        <v>45</v>
      </c>
      <c r="E30" s="13" t="s">
        <v>54</v>
      </c>
      <c r="F30" s="13" t="s">
        <v>205</v>
      </c>
      <c r="G30" s="13" t="s">
        <v>70</v>
      </c>
      <c r="H30" s="13" t="s">
        <v>296</v>
      </c>
    </row>
    <row r="31" customFormat="false" ht="15" hidden="false" customHeight="false" outlineLevel="0" collapsed="false">
      <c r="A31" s="15" t="s">
        <v>297</v>
      </c>
      <c r="B31" s="16" t="s">
        <v>298</v>
      </c>
      <c r="C31" s="16" t="s">
        <v>299</v>
      </c>
      <c r="D31" s="16" t="s">
        <v>45</v>
      </c>
      <c r="E31" s="16" t="s">
        <v>204</v>
      </c>
      <c r="F31" s="16" t="s">
        <v>205</v>
      </c>
      <c r="G31" s="16" t="s">
        <v>212</v>
      </c>
      <c r="H31" s="16" t="s">
        <v>300</v>
      </c>
    </row>
    <row r="32" customFormat="false" ht="15" hidden="false" customHeight="false" outlineLevel="0" collapsed="false">
      <c r="A32" s="12" t="s">
        <v>301</v>
      </c>
      <c r="B32" s="13" t="s">
        <v>298</v>
      </c>
      <c r="C32" s="13" t="s">
        <v>302</v>
      </c>
      <c r="D32" s="13" t="s">
        <v>44</v>
      </c>
      <c r="E32" s="13" t="s">
        <v>54</v>
      </c>
      <c r="F32" s="13" t="s">
        <v>197</v>
      </c>
      <c r="G32" s="13" t="s">
        <v>95</v>
      </c>
      <c r="H32" s="13" t="s">
        <v>303</v>
      </c>
    </row>
    <row r="33" customFormat="false" ht="23.85" hidden="false" customHeight="false" outlineLevel="0" collapsed="false">
      <c r="A33" s="15" t="s">
        <v>304</v>
      </c>
      <c r="B33" s="16" t="s">
        <v>298</v>
      </c>
      <c r="C33" s="16" t="s">
        <v>305</v>
      </c>
      <c r="D33" s="16" t="s">
        <v>43</v>
      </c>
      <c r="E33" s="16" t="s">
        <v>54</v>
      </c>
      <c r="F33" s="16" t="s">
        <v>205</v>
      </c>
      <c r="G33" s="16" t="s">
        <v>95</v>
      </c>
      <c r="H33" s="16" t="s">
        <v>306</v>
      </c>
    </row>
    <row r="34" customFormat="false" ht="15" hidden="false" customHeight="false" outlineLevel="0" collapsed="false">
      <c r="A34" s="12" t="s">
        <v>307</v>
      </c>
      <c r="B34" s="13" t="s">
        <v>298</v>
      </c>
      <c r="C34" s="13" t="s">
        <v>308</v>
      </c>
      <c r="D34" s="13" t="s">
        <v>43</v>
      </c>
      <c r="E34" s="13" t="s">
        <v>54</v>
      </c>
      <c r="F34" s="13" t="s">
        <v>205</v>
      </c>
      <c r="G34" s="13" t="s">
        <v>309</v>
      </c>
      <c r="H34" s="13" t="s">
        <v>310</v>
      </c>
    </row>
    <row r="35" customFormat="false" ht="15" hidden="false" customHeight="false" outlineLevel="0" collapsed="false">
      <c r="A35" s="15" t="s">
        <v>311</v>
      </c>
      <c r="B35" s="16" t="s">
        <v>298</v>
      </c>
      <c r="C35" s="16" t="s">
        <v>312</v>
      </c>
      <c r="D35" s="16" t="s">
        <v>46</v>
      </c>
      <c r="E35" s="16" t="s">
        <v>282</v>
      </c>
      <c r="F35" s="16" t="s">
        <v>205</v>
      </c>
      <c r="G35" s="16" t="s">
        <v>95</v>
      </c>
      <c r="H35" s="16" t="s">
        <v>313</v>
      </c>
    </row>
    <row r="36" customFormat="false" ht="15" hidden="false" customHeight="false" outlineLevel="0" collapsed="false">
      <c r="A36" s="12" t="s">
        <v>314</v>
      </c>
      <c r="B36" s="13" t="s">
        <v>298</v>
      </c>
      <c r="C36" s="13" t="s">
        <v>315</v>
      </c>
      <c r="D36" s="13" t="s">
        <v>45</v>
      </c>
      <c r="E36" s="13" t="s">
        <v>204</v>
      </c>
      <c r="F36" s="13" t="s">
        <v>205</v>
      </c>
      <c r="G36" s="13" t="s">
        <v>95</v>
      </c>
      <c r="H36" s="13" t="s">
        <v>316</v>
      </c>
    </row>
    <row r="37" customFormat="false" ht="23.85" hidden="false" customHeight="false" outlineLevel="0" collapsed="false">
      <c r="A37" s="15" t="s">
        <v>317</v>
      </c>
      <c r="B37" s="16" t="s">
        <v>318</v>
      </c>
      <c r="C37" s="16" t="s">
        <v>319</v>
      </c>
      <c r="D37" s="16" t="s">
        <v>44</v>
      </c>
      <c r="E37" s="16" t="s">
        <v>54</v>
      </c>
      <c r="F37" s="16" t="s">
        <v>205</v>
      </c>
      <c r="G37" s="16" t="s">
        <v>81</v>
      </c>
      <c r="H37" s="16" t="s">
        <v>320</v>
      </c>
    </row>
    <row r="38" customFormat="false" ht="15" hidden="false" customHeight="false" outlineLevel="0" collapsed="false">
      <c r="A38" s="12" t="s">
        <v>321</v>
      </c>
      <c r="B38" s="13" t="s">
        <v>318</v>
      </c>
      <c r="C38" s="13" t="s">
        <v>322</v>
      </c>
      <c r="D38" s="13" t="s">
        <v>46</v>
      </c>
      <c r="E38" s="13" t="s">
        <v>264</v>
      </c>
      <c r="F38" s="13" t="s">
        <v>216</v>
      </c>
      <c r="G38" s="13" t="s">
        <v>81</v>
      </c>
      <c r="H38" s="13" t="s">
        <v>323</v>
      </c>
    </row>
    <row r="39" customFormat="false" ht="15" hidden="false" customHeight="false" outlineLevel="0" collapsed="false">
      <c r="A39" s="15" t="s">
        <v>324</v>
      </c>
      <c r="B39" s="16" t="s">
        <v>325</v>
      </c>
      <c r="C39" s="16" t="s">
        <v>326</v>
      </c>
      <c r="D39" s="16" t="s">
        <v>44</v>
      </c>
      <c r="E39" s="16" t="s">
        <v>54</v>
      </c>
      <c r="F39" s="16" t="s">
        <v>205</v>
      </c>
      <c r="G39" s="16" t="s">
        <v>86</v>
      </c>
      <c r="H39" s="16" t="s">
        <v>327</v>
      </c>
    </row>
    <row r="40" customFormat="false" ht="15" hidden="false" customHeight="false" outlineLevel="0" collapsed="false">
      <c r="A40" s="12" t="s">
        <v>328</v>
      </c>
      <c r="B40" s="13" t="s">
        <v>325</v>
      </c>
      <c r="C40" s="13" t="s">
        <v>329</v>
      </c>
      <c r="D40" s="13" t="s">
        <v>43</v>
      </c>
      <c r="E40" s="13" t="s">
        <v>54</v>
      </c>
      <c r="F40" s="13" t="s">
        <v>197</v>
      </c>
      <c r="G40" s="13" t="s">
        <v>330</v>
      </c>
      <c r="H40" s="13" t="s">
        <v>331</v>
      </c>
    </row>
    <row r="41" customFormat="false" ht="23.85" hidden="false" customHeight="false" outlineLevel="0" collapsed="false">
      <c r="A41" s="15" t="s">
        <v>332</v>
      </c>
      <c r="B41" s="16" t="s">
        <v>325</v>
      </c>
      <c r="C41" s="16" t="s">
        <v>333</v>
      </c>
      <c r="D41" s="16" t="s">
        <v>44</v>
      </c>
      <c r="E41" s="16" t="s">
        <v>54</v>
      </c>
      <c r="F41" s="16" t="s">
        <v>205</v>
      </c>
      <c r="G41" s="16" t="s">
        <v>330</v>
      </c>
      <c r="H41" s="16" t="s">
        <v>334</v>
      </c>
    </row>
    <row r="42" customFormat="false" ht="23.85" hidden="false" customHeight="false" outlineLevel="0" collapsed="false">
      <c r="A42" s="12" t="s">
        <v>335</v>
      </c>
      <c r="B42" s="13" t="s">
        <v>325</v>
      </c>
      <c r="C42" s="13" t="s">
        <v>336</v>
      </c>
      <c r="D42" s="13" t="s">
        <v>45</v>
      </c>
      <c r="E42" s="13" t="s">
        <v>54</v>
      </c>
      <c r="F42" s="13" t="s">
        <v>205</v>
      </c>
      <c r="G42" s="13" t="s">
        <v>86</v>
      </c>
      <c r="H42" s="13" t="s">
        <v>337</v>
      </c>
    </row>
    <row r="43" customFormat="false" ht="23.85" hidden="false" customHeight="false" outlineLevel="0" collapsed="false">
      <c r="A43" s="15" t="s">
        <v>338</v>
      </c>
      <c r="B43" s="16" t="s">
        <v>325</v>
      </c>
      <c r="C43" s="16" t="s">
        <v>339</v>
      </c>
      <c r="D43" s="16" t="s">
        <v>45</v>
      </c>
      <c r="E43" s="16" t="s">
        <v>282</v>
      </c>
      <c r="F43" s="16" t="s">
        <v>216</v>
      </c>
      <c r="G43" s="16" t="s">
        <v>340</v>
      </c>
      <c r="H43" s="16" t="s">
        <v>341</v>
      </c>
    </row>
    <row r="44" customFormat="false" ht="15" hidden="false" customHeight="false" outlineLevel="0" collapsed="false">
      <c r="A44" s="12" t="s">
        <v>342</v>
      </c>
      <c r="B44" s="13" t="s">
        <v>343</v>
      </c>
      <c r="C44" s="13" t="s">
        <v>344</v>
      </c>
      <c r="D44" s="13" t="s">
        <v>44</v>
      </c>
      <c r="E44" s="13" t="s">
        <v>264</v>
      </c>
      <c r="F44" s="13" t="s">
        <v>205</v>
      </c>
      <c r="G44" s="13" t="s">
        <v>91</v>
      </c>
      <c r="H44" s="13" t="s">
        <v>345</v>
      </c>
    </row>
    <row r="45" customFormat="false" ht="15" hidden="false" customHeight="false" outlineLevel="0" collapsed="false">
      <c r="A45" s="15" t="s">
        <v>346</v>
      </c>
      <c r="B45" s="16" t="s">
        <v>343</v>
      </c>
      <c r="C45" s="16" t="s">
        <v>347</v>
      </c>
      <c r="D45" s="16" t="s">
        <v>45</v>
      </c>
      <c r="E45" s="16" t="s">
        <v>264</v>
      </c>
      <c r="F45" s="16" t="s">
        <v>216</v>
      </c>
      <c r="G45" s="16" t="s">
        <v>91</v>
      </c>
      <c r="H45" s="16" t="s">
        <v>348</v>
      </c>
    </row>
    <row r="46" customFormat="false" ht="15" hidden="false" customHeight="false" outlineLevel="0" collapsed="false">
      <c r="A46" s="12" t="s">
        <v>349</v>
      </c>
      <c r="B46" s="13" t="s">
        <v>343</v>
      </c>
      <c r="C46" s="13" t="s">
        <v>350</v>
      </c>
      <c r="D46" s="13" t="s">
        <v>46</v>
      </c>
      <c r="E46" s="13" t="s">
        <v>264</v>
      </c>
      <c r="F46" s="13" t="s">
        <v>216</v>
      </c>
      <c r="G46" s="13" t="s">
        <v>91</v>
      </c>
      <c r="H46" s="13" t="s">
        <v>351</v>
      </c>
    </row>
    <row r="47" customFormat="false" ht="15" hidden="false" customHeight="false" outlineLevel="0" collapsed="false">
      <c r="A47" s="15" t="s">
        <v>352</v>
      </c>
      <c r="B47" s="16" t="s">
        <v>343</v>
      </c>
      <c r="C47" s="16" t="s">
        <v>353</v>
      </c>
      <c r="D47" s="16" t="s">
        <v>46</v>
      </c>
      <c r="E47" s="16" t="s">
        <v>264</v>
      </c>
      <c r="F47" s="16" t="s">
        <v>216</v>
      </c>
      <c r="G47" s="16" t="s">
        <v>91</v>
      </c>
      <c r="H47" s="16" t="s">
        <v>354</v>
      </c>
    </row>
    <row r="48" customFormat="false" ht="15" hidden="false" customHeight="false" outlineLevel="0" collapsed="false">
      <c r="A48" s="12" t="s">
        <v>355</v>
      </c>
      <c r="B48" s="13" t="s">
        <v>343</v>
      </c>
      <c r="C48" s="13" t="s">
        <v>356</v>
      </c>
      <c r="D48" s="13" t="s">
        <v>46</v>
      </c>
      <c r="E48" s="13" t="s">
        <v>224</v>
      </c>
      <c r="F48" s="13" t="s">
        <v>216</v>
      </c>
      <c r="G48" s="13" t="s">
        <v>91</v>
      </c>
      <c r="H48" s="13" t="s">
        <v>357</v>
      </c>
    </row>
    <row r="49" customFormat="false" ht="15" hidden="false" customHeight="false" outlineLevel="0" collapsed="false">
      <c r="A49" s="15" t="s">
        <v>358</v>
      </c>
      <c r="B49" s="16" t="s">
        <v>343</v>
      </c>
      <c r="C49" s="16" t="s">
        <v>359</v>
      </c>
      <c r="D49" s="16" t="s">
        <v>46</v>
      </c>
      <c r="E49" s="16" t="s">
        <v>264</v>
      </c>
      <c r="F49" s="16" t="s">
        <v>216</v>
      </c>
      <c r="G49" s="16" t="s">
        <v>91</v>
      </c>
      <c r="H49" s="16" t="s">
        <v>360</v>
      </c>
    </row>
    <row r="50" customFormat="false" ht="15" hidden="false" customHeight="false" outlineLevel="0" collapsed="false">
      <c r="A50" s="12" t="s">
        <v>361</v>
      </c>
      <c r="B50" s="13" t="s">
        <v>343</v>
      </c>
      <c r="C50" s="13" t="s">
        <v>362</v>
      </c>
      <c r="D50" s="13" t="s">
        <v>44</v>
      </c>
      <c r="E50" s="13" t="s">
        <v>54</v>
      </c>
      <c r="F50" s="13" t="s">
        <v>205</v>
      </c>
      <c r="G50" s="13" t="s">
        <v>91</v>
      </c>
      <c r="H50" s="13" t="s">
        <v>363</v>
      </c>
    </row>
    <row r="51" customFormat="false" ht="15" hidden="false" customHeight="false" outlineLevel="0" collapsed="false">
      <c r="A51" s="15" t="s">
        <v>364</v>
      </c>
      <c r="B51" s="16" t="s">
        <v>343</v>
      </c>
      <c r="C51" s="16" t="s">
        <v>365</v>
      </c>
      <c r="D51" s="16" t="s">
        <v>45</v>
      </c>
      <c r="E51" s="16" t="s">
        <v>264</v>
      </c>
      <c r="F51" s="16" t="s">
        <v>216</v>
      </c>
      <c r="G51" s="16" t="s">
        <v>91</v>
      </c>
      <c r="H51" s="16" t="s">
        <v>366</v>
      </c>
    </row>
    <row r="52" customFormat="false" ht="23.85" hidden="false" customHeight="false" outlineLevel="0" collapsed="false">
      <c r="A52" s="12" t="s">
        <v>367</v>
      </c>
      <c r="B52" s="13" t="s">
        <v>343</v>
      </c>
      <c r="C52" s="13" t="s">
        <v>368</v>
      </c>
      <c r="D52" s="13" t="s">
        <v>46</v>
      </c>
      <c r="E52" s="13" t="s">
        <v>282</v>
      </c>
      <c r="F52" s="13" t="s">
        <v>216</v>
      </c>
      <c r="G52" s="13" t="s">
        <v>369</v>
      </c>
      <c r="H52" s="13" t="s">
        <v>370</v>
      </c>
    </row>
    <row r="53" customFormat="false" ht="23.85" hidden="false" customHeight="false" outlineLevel="0" collapsed="false">
      <c r="A53" s="15" t="s">
        <v>371</v>
      </c>
      <c r="B53" s="16" t="s">
        <v>343</v>
      </c>
      <c r="C53" s="16" t="s">
        <v>372</v>
      </c>
      <c r="D53" s="16" t="s">
        <v>45</v>
      </c>
      <c r="E53" s="16" t="s">
        <v>54</v>
      </c>
      <c r="F53" s="16" t="s">
        <v>216</v>
      </c>
      <c r="G53" s="16" t="s">
        <v>373</v>
      </c>
      <c r="H53" s="16" t="s">
        <v>374</v>
      </c>
    </row>
    <row r="54" customFormat="false" ht="15" hidden="false" customHeight="false" outlineLevel="0" collapsed="false">
      <c r="A54" s="12" t="s">
        <v>375</v>
      </c>
      <c r="B54" s="13" t="s">
        <v>376</v>
      </c>
      <c r="C54" s="13" t="s">
        <v>377</v>
      </c>
      <c r="D54" s="13" t="s">
        <v>43</v>
      </c>
      <c r="E54" s="13" t="s">
        <v>54</v>
      </c>
      <c r="F54" s="13" t="s">
        <v>197</v>
      </c>
      <c r="G54" s="13" t="s">
        <v>309</v>
      </c>
      <c r="H54" s="13" t="s">
        <v>378</v>
      </c>
    </row>
    <row r="55" customFormat="false" ht="15" hidden="false" customHeight="false" outlineLevel="0" collapsed="false">
      <c r="A55" s="15" t="s">
        <v>379</v>
      </c>
      <c r="B55" s="16" t="s">
        <v>376</v>
      </c>
      <c r="C55" s="16" t="s">
        <v>380</v>
      </c>
      <c r="D55" s="16" t="s">
        <v>43</v>
      </c>
      <c r="E55" s="16" t="s">
        <v>54</v>
      </c>
      <c r="F55" s="16" t="s">
        <v>205</v>
      </c>
      <c r="G55" s="16" t="s">
        <v>309</v>
      </c>
      <c r="H55" s="16" t="s">
        <v>381</v>
      </c>
    </row>
    <row r="56" customFormat="false" ht="15" hidden="false" customHeight="false" outlineLevel="0" collapsed="false">
      <c r="A56" s="12" t="s">
        <v>382</v>
      </c>
      <c r="B56" s="13" t="s">
        <v>376</v>
      </c>
      <c r="C56" s="13" t="s">
        <v>383</v>
      </c>
      <c r="D56" s="13" t="s">
        <v>43</v>
      </c>
      <c r="E56" s="13" t="s">
        <v>54</v>
      </c>
      <c r="F56" s="13" t="s">
        <v>205</v>
      </c>
      <c r="G56" s="13" t="s">
        <v>95</v>
      </c>
      <c r="H56" s="13" t="s">
        <v>384</v>
      </c>
    </row>
    <row r="57" customFormat="false" ht="15" hidden="false" customHeight="false" outlineLevel="0" collapsed="false">
      <c r="A57" s="15" t="s">
        <v>385</v>
      </c>
      <c r="B57" s="16" t="s">
        <v>376</v>
      </c>
      <c r="C57" s="16" t="s">
        <v>386</v>
      </c>
      <c r="D57" s="16" t="s">
        <v>43</v>
      </c>
      <c r="E57" s="16" t="s">
        <v>54</v>
      </c>
      <c r="F57" s="16" t="s">
        <v>205</v>
      </c>
      <c r="G57" s="16" t="s">
        <v>309</v>
      </c>
      <c r="H57" s="16" t="s">
        <v>387</v>
      </c>
    </row>
    <row r="58" customFormat="false" ht="23.85" hidden="false" customHeight="false" outlineLevel="0" collapsed="false">
      <c r="A58" s="12" t="s">
        <v>388</v>
      </c>
      <c r="B58" s="13" t="s">
        <v>376</v>
      </c>
      <c r="C58" s="13" t="s">
        <v>389</v>
      </c>
      <c r="D58" s="13" t="s">
        <v>43</v>
      </c>
      <c r="E58" s="13" t="s">
        <v>54</v>
      </c>
      <c r="F58" s="13" t="s">
        <v>205</v>
      </c>
      <c r="G58" s="13" t="s">
        <v>95</v>
      </c>
      <c r="H58" s="13" t="s">
        <v>390</v>
      </c>
    </row>
    <row r="59" customFormat="false" ht="15" hidden="false" customHeight="false" outlineLevel="0" collapsed="false">
      <c r="A59" s="15" t="s">
        <v>391</v>
      </c>
      <c r="B59" s="16" t="s">
        <v>376</v>
      </c>
      <c r="C59" s="16" t="s">
        <v>392</v>
      </c>
      <c r="D59" s="16" t="s">
        <v>44</v>
      </c>
      <c r="E59" s="16" t="s">
        <v>54</v>
      </c>
      <c r="F59" s="16" t="s">
        <v>205</v>
      </c>
      <c r="G59" s="16" t="s">
        <v>100</v>
      </c>
      <c r="H59" s="16" t="s">
        <v>393</v>
      </c>
    </row>
    <row r="60" customFormat="false" ht="23.85" hidden="false" customHeight="false" outlineLevel="0" collapsed="false">
      <c r="A60" s="12" t="s">
        <v>394</v>
      </c>
      <c r="B60" s="13" t="s">
        <v>376</v>
      </c>
      <c r="C60" s="13" t="s">
        <v>395</v>
      </c>
      <c r="D60" s="13" t="s">
        <v>43</v>
      </c>
      <c r="E60" s="13" t="s">
        <v>224</v>
      </c>
      <c r="F60" s="13" t="s">
        <v>205</v>
      </c>
      <c r="G60" s="13" t="s">
        <v>396</v>
      </c>
      <c r="H60" s="13" t="s">
        <v>397</v>
      </c>
    </row>
    <row r="61" customFormat="false" ht="15" hidden="false" customHeight="false" outlineLevel="0" collapsed="false">
      <c r="A61" s="15" t="s">
        <v>398</v>
      </c>
      <c r="B61" s="16" t="s">
        <v>376</v>
      </c>
      <c r="C61" s="16" t="s">
        <v>399</v>
      </c>
      <c r="D61" s="16" t="s">
        <v>44</v>
      </c>
      <c r="E61" s="16" t="s">
        <v>224</v>
      </c>
      <c r="F61" s="16" t="s">
        <v>205</v>
      </c>
      <c r="G61" s="16" t="s">
        <v>396</v>
      </c>
      <c r="H61" s="16" t="s">
        <v>400</v>
      </c>
    </row>
    <row r="62" customFormat="false" ht="23.85" hidden="false" customHeight="false" outlineLevel="0" collapsed="false">
      <c r="A62" s="12" t="s">
        <v>401</v>
      </c>
      <c r="B62" s="13" t="s">
        <v>376</v>
      </c>
      <c r="C62" s="13" t="s">
        <v>402</v>
      </c>
      <c r="D62" s="13" t="s">
        <v>45</v>
      </c>
      <c r="E62" s="13" t="s">
        <v>54</v>
      </c>
      <c r="F62" s="13" t="s">
        <v>205</v>
      </c>
      <c r="G62" s="13" t="s">
        <v>403</v>
      </c>
      <c r="H62" s="13" t="s">
        <v>404</v>
      </c>
    </row>
    <row r="63" customFormat="false" ht="23.85" hidden="false" customHeight="false" outlineLevel="0" collapsed="false">
      <c r="A63" s="15" t="s">
        <v>405</v>
      </c>
      <c r="B63" s="16" t="s">
        <v>376</v>
      </c>
      <c r="C63" s="16" t="s">
        <v>406</v>
      </c>
      <c r="D63" s="16" t="s">
        <v>45</v>
      </c>
      <c r="E63" s="16" t="s">
        <v>224</v>
      </c>
      <c r="F63" s="16" t="s">
        <v>216</v>
      </c>
      <c r="G63" s="16" t="s">
        <v>407</v>
      </c>
      <c r="H63" s="16" t="s">
        <v>408</v>
      </c>
    </row>
    <row r="64" customFormat="false" ht="23.85" hidden="false" customHeight="false" outlineLevel="0" collapsed="false">
      <c r="A64" s="12" t="s">
        <v>409</v>
      </c>
      <c r="B64" s="13" t="s">
        <v>376</v>
      </c>
      <c r="C64" s="13" t="s">
        <v>410</v>
      </c>
      <c r="D64" s="13" t="s">
        <v>44</v>
      </c>
      <c r="E64" s="13" t="s">
        <v>54</v>
      </c>
      <c r="F64" s="13" t="s">
        <v>216</v>
      </c>
      <c r="G64" s="13" t="s">
        <v>100</v>
      </c>
      <c r="H64" s="13" t="s">
        <v>411</v>
      </c>
    </row>
    <row r="65" customFormat="false" ht="23.85" hidden="false" customHeight="false" outlineLevel="0" collapsed="false">
      <c r="A65" s="15" t="s">
        <v>412</v>
      </c>
      <c r="B65" s="16" t="s">
        <v>376</v>
      </c>
      <c r="C65" s="16" t="s">
        <v>413</v>
      </c>
      <c r="D65" s="16" t="s">
        <v>45</v>
      </c>
      <c r="E65" s="16" t="s">
        <v>54</v>
      </c>
      <c r="F65" s="16" t="s">
        <v>205</v>
      </c>
      <c r="G65" s="16" t="s">
        <v>414</v>
      </c>
      <c r="H65" s="16" t="s">
        <v>415</v>
      </c>
    </row>
    <row r="66" customFormat="false" ht="15" hidden="false" customHeight="false" outlineLevel="0" collapsed="false">
      <c r="A66" s="12" t="s">
        <v>416</v>
      </c>
      <c r="B66" s="13" t="s">
        <v>376</v>
      </c>
      <c r="C66" s="13" t="s">
        <v>417</v>
      </c>
      <c r="D66" s="13" t="s">
        <v>45</v>
      </c>
      <c r="E66" s="13" t="s">
        <v>224</v>
      </c>
      <c r="F66" s="13" t="s">
        <v>216</v>
      </c>
      <c r="G66" s="13" t="s">
        <v>95</v>
      </c>
      <c r="H66" s="13" t="s">
        <v>418</v>
      </c>
    </row>
    <row r="67" customFormat="false" ht="15" hidden="false" customHeight="false" outlineLevel="0" collapsed="false">
      <c r="A67" s="15" t="s">
        <v>419</v>
      </c>
      <c r="B67" s="16" t="s">
        <v>376</v>
      </c>
      <c r="C67" s="16" t="s">
        <v>420</v>
      </c>
      <c r="D67" s="16" t="s">
        <v>45</v>
      </c>
      <c r="E67" s="16" t="s">
        <v>204</v>
      </c>
      <c r="F67" s="16" t="s">
        <v>205</v>
      </c>
      <c r="G67" s="16" t="s">
        <v>421</v>
      </c>
      <c r="H67" s="16" t="s">
        <v>422</v>
      </c>
    </row>
    <row r="68" customFormat="false" ht="23.85" hidden="false" customHeight="false" outlineLevel="0" collapsed="false">
      <c r="A68" s="12" t="s">
        <v>423</v>
      </c>
      <c r="B68" s="13" t="s">
        <v>376</v>
      </c>
      <c r="C68" s="13" t="s">
        <v>424</v>
      </c>
      <c r="D68" s="13" t="s">
        <v>45</v>
      </c>
      <c r="E68" s="13" t="s">
        <v>54</v>
      </c>
      <c r="F68" s="13" t="s">
        <v>205</v>
      </c>
      <c r="G68" s="13" t="s">
        <v>95</v>
      </c>
      <c r="H68" s="13" t="s">
        <v>425</v>
      </c>
    </row>
    <row r="69" customFormat="false" ht="23.85" hidden="false" customHeight="false" outlineLevel="0" collapsed="false">
      <c r="A69" s="15" t="s">
        <v>426</v>
      </c>
      <c r="B69" s="16" t="s">
        <v>376</v>
      </c>
      <c r="C69" s="16" t="s">
        <v>427</v>
      </c>
      <c r="D69" s="16" t="s">
        <v>44</v>
      </c>
      <c r="E69" s="16" t="s">
        <v>224</v>
      </c>
      <c r="F69" s="16" t="s">
        <v>205</v>
      </c>
      <c r="G69" s="16" t="s">
        <v>428</v>
      </c>
      <c r="H69" s="16" t="s">
        <v>429</v>
      </c>
    </row>
    <row r="70" customFormat="false" ht="23.85" hidden="false" customHeight="false" outlineLevel="0" collapsed="false">
      <c r="A70" s="12" t="s">
        <v>430</v>
      </c>
      <c r="B70" s="13" t="s">
        <v>376</v>
      </c>
      <c r="C70" s="13" t="s">
        <v>431</v>
      </c>
      <c r="D70" s="13" t="s">
        <v>44</v>
      </c>
      <c r="E70" s="13" t="s">
        <v>224</v>
      </c>
      <c r="F70" s="13" t="s">
        <v>205</v>
      </c>
      <c r="G70" s="13" t="s">
        <v>428</v>
      </c>
      <c r="H70" s="13" t="s">
        <v>432</v>
      </c>
    </row>
    <row r="71" customFormat="false" ht="15" hidden="false" customHeight="false" outlineLevel="0" collapsed="false">
      <c r="A71" s="15" t="s">
        <v>433</v>
      </c>
      <c r="B71" s="16" t="s">
        <v>434</v>
      </c>
      <c r="C71" s="16" t="s">
        <v>435</v>
      </c>
      <c r="D71" s="16" t="s">
        <v>46</v>
      </c>
      <c r="E71" s="16" t="s">
        <v>204</v>
      </c>
      <c r="F71" s="16" t="s">
        <v>205</v>
      </c>
      <c r="G71" s="16" t="s">
        <v>212</v>
      </c>
      <c r="H71" s="16" t="s">
        <v>436</v>
      </c>
    </row>
    <row r="72" customFormat="false" ht="15" hidden="false" customHeight="false" outlineLevel="0" collapsed="false">
      <c r="A72" s="12" t="s">
        <v>437</v>
      </c>
      <c r="B72" s="13" t="s">
        <v>434</v>
      </c>
      <c r="C72" s="13" t="s">
        <v>438</v>
      </c>
      <c r="D72" s="13" t="s">
        <v>44</v>
      </c>
      <c r="E72" s="13" t="s">
        <v>264</v>
      </c>
      <c r="F72" s="13" t="s">
        <v>205</v>
      </c>
      <c r="G72" s="13" t="s">
        <v>121</v>
      </c>
      <c r="H72" s="13" t="s">
        <v>439</v>
      </c>
    </row>
    <row r="73" customFormat="false" ht="23.85" hidden="false" customHeight="false" outlineLevel="0" collapsed="false">
      <c r="A73" s="15" t="s">
        <v>440</v>
      </c>
      <c r="B73" s="16" t="s">
        <v>434</v>
      </c>
      <c r="C73" s="16" t="s">
        <v>441</v>
      </c>
      <c r="D73" s="16" t="s">
        <v>44</v>
      </c>
      <c r="E73" s="16" t="s">
        <v>264</v>
      </c>
      <c r="F73" s="16" t="s">
        <v>205</v>
      </c>
      <c r="G73" s="16" t="s">
        <v>442</v>
      </c>
      <c r="H73" s="16" t="s">
        <v>443</v>
      </c>
    </row>
    <row r="74" customFormat="false" ht="15" hidden="false" customHeight="false" outlineLevel="0" collapsed="false">
      <c r="A74" s="12" t="s">
        <v>444</v>
      </c>
      <c r="B74" s="13" t="s">
        <v>434</v>
      </c>
      <c r="C74" s="13" t="s">
        <v>445</v>
      </c>
      <c r="D74" s="13" t="s">
        <v>45</v>
      </c>
      <c r="E74" s="13" t="s">
        <v>54</v>
      </c>
      <c r="F74" s="13" t="s">
        <v>216</v>
      </c>
      <c r="G74" s="13" t="s">
        <v>121</v>
      </c>
      <c r="H74" s="13" t="s">
        <v>446</v>
      </c>
    </row>
    <row r="75" customFormat="false" ht="15" hidden="false" customHeight="false" outlineLevel="0" collapsed="false">
      <c r="A75" s="15" t="s">
        <v>447</v>
      </c>
      <c r="B75" s="16" t="s">
        <v>434</v>
      </c>
      <c r="C75" s="16" t="s">
        <v>448</v>
      </c>
      <c r="D75" s="16" t="s">
        <v>44</v>
      </c>
      <c r="E75" s="16" t="s">
        <v>289</v>
      </c>
      <c r="F75" s="16" t="s">
        <v>205</v>
      </c>
      <c r="G75" s="16" t="s">
        <v>449</v>
      </c>
      <c r="H75" s="16" t="s">
        <v>450</v>
      </c>
    </row>
    <row r="76" customFormat="false" ht="23.85" hidden="false" customHeight="false" outlineLevel="0" collapsed="false">
      <c r="A76" s="12" t="s">
        <v>451</v>
      </c>
      <c r="B76" s="13" t="s">
        <v>434</v>
      </c>
      <c r="C76" s="13" t="s">
        <v>452</v>
      </c>
      <c r="D76" s="13" t="s">
        <v>45</v>
      </c>
      <c r="E76" s="13" t="s">
        <v>204</v>
      </c>
      <c r="F76" s="13" t="s">
        <v>216</v>
      </c>
      <c r="G76" s="13" t="s">
        <v>453</v>
      </c>
      <c r="H76" s="13" t="s">
        <v>454</v>
      </c>
    </row>
    <row r="77" customFormat="false" ht="23.85" hidden="false" customHeight="false" outlineLevel="0" collapsed="false">
      <c r="A77" s="15" t="s">
        <v>455</v>
      </c>
      <c r="B77" s="16" t="s">
        <v>434</v>
      </c>
      <c r="C77" s="16" t="s">
        <v>456</v>
      </c>
      <c r="D77" s="16" t="s">
        <v>45</v>
      </c>
      <c r="E77" s="16" t="s">
        <v>54</v>
      </c>
      <c r="F77" s="16" t="s">
        <v>216</v>
      </c>
      <c r="G77" s="16" t="s">
        <v>121</v>
      </c>
      <c r="H77" s="16" t="s">
        <v>457</v>
      </c>
    </row>
    <row r="78" customFormat="false" ht="23.85" hidden="false" customHeight="false" outlineLevel="0" collapsed="false">
      <c r="A78" s="12" t="s">
        <v>458</v>
      </c>
      <c r="B78" s="13" t="s">
        <v>434</v>
      </c>
      <c r="C78" s="13" t="s">
        <v>459</v>
      </c>
      <c r="D78" s="13" t="s">
        <v>46</v>
      </c>
      <c r="E78" s="13" t="s">
        <v>54</v>
      </c>
      <c r="F78" s="13" t="s">
        <v>216</v>
      </c>
      <c r="G78" s="13" t="s">
        <v>460</v>
      </c>
      <c r="H78" s="13" t="s">
        <v>461</v>
      </c>
    </row>
    <row r="79" customFormat="false" ht="15" hidden="false" customHeight="false" outlineLevel="0" collapsed="false">
      <c r="A79" s="15" t="s">
        <v>462</v>
      </c>
      <c r="B79" s="16" t="s">
        <v>463</v>
      </c>
      <c r="C79" s="16" t="s">
        <v>464</v>
      </c>
      <c r="D79" s="16" t="s">
        <v>44</v>
      </c>
      <c r="E79" s="16" t="s">
        <v>204</v>
      </c>
      <c r="F79" s="16" t="s">
        <v>205</v>
      </c>
      <c r="G79" s="16" t="s">
        <v>105</v>
      </c>
      <c r="H79" s="16" t="s">
        <v>465</v>
      </c>
    </row>
    <row r="80" customFormat="false" ht="23.85" hidden="false" customHeight="false" outlineLevel="0" collapsed="false">
      <c r="A80" s="12" t="s">
        <v>466</v>
      </c>
      <c r="B80" s="13" t="s">
        <v>463</v>
      </c>
      <c r="C80" s="13" t="s">
        <v>467</v>
      </c>
      <c r="D80" s="13" t="s">
        <v>43</v>
      </c>
      <c r="E80" s="13" t="s">
        <v>264</v>
      </c>
      <c r="F80" s="13" t="s">
        <v>205</v>
      </c>
      <c r="G80" s="13" t="s">
        <v>468</v>
      </c>
      <c r="H80" s="13" t="s">
        <v>469</v>
      </c>
    </row>
    <row r="81" customFormat="false" ht="15" hidden="false" customHeight="false" outlineLevel="0" collapsed="false">
      <c r="A81" s="15" t="s">
        <v>470</v>
      </c>
      <c r="B81" s="16" t="s">
        <v>463</v>
      </c>
      <c r="C81" s="16" t="s">
        <v>471</v>
      </c>
      <c r="D81" s="16" t="s">
        <v>44</v>
      </c>
      <c r="E81" s="16" t="s">
        <v>264</v>
      </c>
      <c r="F81" s="16" t="s">
        <v>205</v>
      </c>
      <c r="G81" s="16" t="s">
        <v>472</v>
      </c>
      <c r="H81" s="16" t="s">
        <v>473</v>
      </c>
    </row>
    <row r="82" customFormat="false" ht="15" hidden="false" customHeight="false" outlineLevel="0" collapsed="false">
      <c r="A82" s="12" t="s">
        <v>474</v>
      </c>
      <c r="B82" s="13" t="s">
        <v>463</v>
      </c>
      <c r="C82" s="13" t="s">
        <v>475</v>
      </c>
      <c r="D82" s="13" t="s">
        <v>44</v>
      </c>
      <c r="E82" s="13" t="s">
        <v>264</v>
      </c>
      <c r="F82" s="13" t="s">
        <v>205</v>
      </c>
      <c r="G82" s="13" t="s">
        <v>472</v>
      </c>
      <c r="H82" s="13" t="s">
        <v>476</v>
      </c>
    </row>
    <row r="83" customFormat="false" ht="15" hidden="false" customHeight="false" outlineLevel="0" collapsed="false">
      <c r="A83" s="15" t="s">
        <v>477</v>
      </c>
      <c r="B83" s="16" t="s">
        <v>463</v>
      </c>
      <c r="C83" s="16" t="s">
        <v>478</v>
      </c>
      <c r="D83" s="16" t="s">
        <v>44</v>
      </c>
      <c r="E83" s="16" t="s">
        <v>264</v>
      </c>
      <c r="F83" s="16" t="s">
        <v>205</v>
      </c>
      <c r="G83" s="16" t="s">
        <v>472</v>
      </c>
      <c r="H83" s="16" t="s">
        <v>479</v>
      </c>
    </row>
    <row r="84" customFormat="false" ht="15" hidden="false" customHeight="false" outlineLevel="0" collapsed="false">
      <c r="A84" s="12" t="s">
        <v>480</v>
      </c>
      <c r="B84" s="13" t="s">
        <v>463</v>
      </c>
      <c r="C84" s="13" t="s">
        <v>481</v>
      </c>
      <c r="D84" s="13" t="s">
        <v>44</v>
      </c>
      <c r="E84" s="13" t="s">
        <v>264</v>
      </c>
      <c r="F84" s="13" t="s">
        <v>205</v>
      </c>
      <c r="G84" s="13" t="s">
        <v>472</v>
      </c>
      <c r="H84" s="13" t="s">
        <v>482</v>
      </c>
    </row>
    <row r="85" customFormat="false" ht="23.85" hidden="false" customHeight="false" outlineLevel="0" collapsed="false">
      <c r="A85" s="15" t="s">
        <v>483</v>
      </c>
      <c r="B85" s="16" t="s">
        <v>463</v>
      </c>
      <c r="C85" s="16" t="s">
        <v>484</v>
      </c>
      <c r="D85" s="16" t="s">
        <v>45</v>
      </c>
      <c r="E85" s="16" t="s">
        <v>54</v>
      </c>
      <c r="F85" s="16" t="s">
        <v>205</v>
      </c>
      <c r="G85" s="16" t="s">
        <v>472</v>
      </c>
      <c r="H85" s="16" t="s">
        <v>485</v>
      </c>
    </row>
    <row r="86" customFormat="false" ht="15" hidden="false" customHeight="false" outlineLevel="0" collapsed="false">
      <c r="A86" s="12" t="s">
        <v>486</v>
      </c>
      <c r="B86" s="13" t="s">
        <v>463</v>
      </c>
      <c r="C86" s="13" t="s">
        <v>487</v>
      </c>
      <c r="D86" s="13" t="s">
        <v>44</v>
      </c>
      <c r="E86" s="13" t="s">
        <v>264</v>
      </c>
      <c r="F86" s="13" t="s">
        <v>205</v>
      </c>
      <c r="G86" s="13" t="s">
        <v>488</v>
      </c>
      <c r="H86" s="13" t="s">
        <v>489</v>
      </c>
    </row>
    <row r="87" customFormat="false" ht="23.85" hidden="false" customHeight="false" outlineLevel="0" collapsed="false">
      <c r="A87" s="15" t="s">
        <v>490</v>
      </c>
      <c r="B87" s="16" t="s">
        <v>463</v>
      </c>
      <c r="C87" s="16" t="s">
        <v>491</v>
      </c>
      <c r="D87" s="16" t="s">
        <v>44</v>
      </c>
      <c r="E87" s="16" t="s">
        <v>264</v>
      </c>
      <c r="F87" s="16" t="s">
        <v>205</v>
      </c>
      <c r="G87" s="16" t="s">
        <v>492</v>
      </c>
      <c r="H87" s="16" t="s">
        <v>493</v>
      </c>
    </row>
    <row r="88" customFormat="false" ht="15" hidden="false" customHeight="false" outlineLevel="0" collapsed="false">
      <c r="A88" s="12" t="s">
        <v>494</v>
      </c>
      <c r="B88" s="13" t="s">
        <v>463</v>
      </c>
      <c r="C88" s="13" t="s">
        <v>495</v>
      </c>
      <c r="D88" s="13" t="s">
        <v>44</v>
      </c>
      <c r="E88" s="13" t="s">
        <v>264</v>
      </c>
      <c r="F88" s="13" t="s">
        <v>205</v>
      </c>
      <c r="G88" s="13" t="s">
        <v>472</v>
      </c>
      <c r="H88" s="13" t="s">
        <v>496</v>
      </c>
    </row>
    <row r="89" customFormat="false" ht="15" hidden="false" customHeight="false" outlineLevel="0" collapsed="false">
      <c r="A89" s="15" t="s">
        <v>497</v>
      </c>
      <c r="B89" s="16" t="s">
        <v>463</v>
      </c>
      <c r="C89" s="16" t="s">
        <v>498</v>
      </c>
      <c r="D89" s="16" t="s">
        <v>45</v>
      </c>
      <c r="E89" s="16" t="s">
        <v>204</v>
      </c>
      <c r="F89" s="16" t="s">
        <v>216</v>
      </c>
      <c r="G89" s="16" t="s">
        <v>453</v>
      </c>
      <c r="H89" s="16" t="s">
        <v>499</v>
      </c>
    </row>
    <row r="90" customFormat="false" ht="15" hidden="false" customHeight="false" outlineLevel="0" collapsed="false">
      <c r="A90" s="12" t="s">
        <v>500</v>
      </c>
      <c r="B90" s="13" t="s">
        <v>463</v>
      </c>
      <c r="C90" s="13" t="s">
        <v>501</v>
      </c>
      <c r="D90" s="13" t="s">
        <v>45</v>
      </c>
      <c r="E90" s="13" t="s">
        <v>174</v>
      </c>
      <c r="F90" s="13" t="s">
        <v>216</v>
      </c>
      <c r="G90" s="13" t="s">
        <v>179</v>
      </c>
      <c r="H90" s="13" t="s">
        <v>502</v>
      </c>
    </row>
    <row r="91" customFormat="false" ht="23.85" hidden="false" customHeight="false" outlineLevel="0" collapsed="false">
      <c r="A91" s="15" t="s">
        <v>503</v>
      </c>
      <c r="B91" s="16" t="s">
        <v>463</v>
      </c>
      <c r="C91" s="16" t="s">
        <v>504</v>
      </c>
      <c r="D91" s="16" t="s">
        <v>45</v>
      </c>
      <c r="E91" s="16" t="s">
        <v>174</v>
      </c>
      <c r="F91" s="16" t="s">
        <v>216</v>
      </c>
      <c r="G91" s="16" t="s">
        <v>179</v>
      </c>
      <c r="H91" s="16" t="s">
        <v>505</v>
      </c>
    </row>
    <row r="92" customFormat="false" ht="15" hidden="false" customHeight="false" outlineLevel="0" collapsed="false">
      <c r="A92" s="12" t="s">
        <v>506</v>
      </c>
      <c r="B92" s="13" t="s">
        <v>463</v>
      </c>
      <c r="C92" s="13" t="s">
        <v>507</v>
      </c>
      <c r="D92" s="13" t="s">
        <v>45</v>
      </c>
      <c r="E92" s="13" t="s">
        <v>264</v>
      </c>
      <c r="F92" s="13" t="s">
        <v>216</v>
      </c>
      <c r="G92" s="13" t="s">
        <v>472</v>
      </c>
      <c r="H92" s="13" t="s">
        <v>508</v>
      </c>
    </row>
    <row r="93" customFormat="false" ht="15" hidden="false" customHeight="false" outlineLevel="0" collapsed="false">
      <c r="A93" s="15" t="s">
        <v>509</v>
      </c>
      <c r="B93" s="16" t="s">
        <v>510</v>
      </c>
      <c r="C93" s="16" t="s">
        <v>511</v>
      </c>
      <c r="D93" s="16" t="s">
        <v>44</v>
      </c>
      <c r="E93" s="16" t="s">
        <v>204</v>
      </c>
      <c r="F93" s="16" t="s">
        <v>205</v>
      </c>
      <c r="G93" s="16" t="s">
        <v>111</v>
      </c>
      <c r="H93" s="16" t="s">
        <v>512</v>
      </c>
    </row>
    <row r="94" customFormat="false" ht="15" hidden="false" customHeight="false" outlineLevel="0" collapsed="false">
      <c r="A94" s="12" t="s">
        <v>513</v>
      </c>
      <c r="B94" s="13" t="s">
        <v>510</v>
      </c>
      <c r="C94" s="13" t="s">
        <v>514</v>
      </c>
      <c r="D94" s="13" t="s">
        <v>44</v>
      </c>
      <c r="E94" s="13" t="s">
        <v>264</v>
      </c>
      <c r="F94" s="13" t="s">
        <v>205</v>
      </c>
      <c r="G94" s="13" t="s">
        <v>515</v>
      </c>
      <c r="H94" s="13" t="s">
        <v>516</v>
      </c>
    </row>
    <row r="95" customFormat="false" ht="23.85" hidden="false" customHeight="false" outlineLevel="0" collapsed="false">
      <c r="A95" s="15" t="s">
        <v>517</v>
      </c>
      <c r="B95" s="16" t="s">
        <v>510</v>
      </c>
      <c r="C95" s="16" t="s">
        <v>518</v>
      </c>
      <c r="D95" s="16" t="s">
        <v>44</v>
      </c>
      <c r="E95" s="16" t="s">
        <v>264</v>
      </c>
      <c r="F95" s="16" t="s">
        <v>205</v>
      </c>
      <c r="G95" s="16" t="s">
        <v>515</v>
      </c>
      <c r="H95" s="16" t="s">
        <v>519</v>
      </c>
    </row>
    <row r="96" customFormat="false" ht="15" hidden="false" customHeight="false" outlineLevel="0" collapsed="false">
      <c r="A96" s="12" t="s">
        <v>520</v>
      </c>
      <c r="B96" s="13" t="s">
        <v>510</v>
      </c>
      <c r="C96" s="13" t="s">
        <v>521</v>
      </c>
      <c r="D96" s="13" t="s">
        <v>44</v>
      </c>
      <c r="E96" s="13" t="s">
        <v>264</v>
      </c>
      <c r="F96" s="13" t="s">
        <v>205</v>
      </c>
      <c r="G96" s="13" t="s">
        <v>515</v>
      </c>
      <c r="H96" s="13" t="s">
        <v>522</v>
      </c>
    </row>
    <row r="97" customFormat="false" ht="15" hidden="false" customHeight="false" outlineLevel="0" collapsed="false">
      <c r="A97" s="15" t="s">
        <v>523</v>
      </c>
      <c r="B97" s="16" t="s">
        <v>510</v>
      </c>
      <c r="C97" s="16" t="s">
        <v>524</v>
      </c>
      <c r="D97" s="16" t="s">
        <v>44</v>
      </c>
      <c r="E97" s="16" t="s">
        <v>224</v>
      </c>
      <c r="F97" s="16" t="s">
        <v>205</v>
      </c>
      <c r="G97" s="16" t="s">
        <v>515</v>
      </c>
      <c r="H97" s="16" t="s">
        <v>525</v>
      </c>
    </row>
    <row r="98" customFormat="false" ht="15" hidden="false" customHeight="false" outlineLevel="0" collapsed="false">
      <c r="A98" s="12" t="s">
        <v>526</v>
      </c>
      <c r="B98" s="13" t="s">
        <v>510</v>
      </c>
      <c r="C98" s="13" t="s">
        <v>527</v>
      </c>
      <c r="D98" s="13" t="s">
        <v>45</v>
      </c>
      <c r="E98" s="13" t="s">
        <v>289</v>
      </c>
      <c r="F98" s="13" t="s">
        <v>216</v>
      </c>
      <c r="G98" s="13" t="s">
        <v>212</v>
      </c>
      <c r="H98" s="13" t="s">
        <v>528</v>
      </c>
    </row>
    <row r="99" customFormat="false" ht="23.85" hidden="false" customHeight="false" outlineLevel="0" collapsed="false">
      <c r="A99" s="15" t="s">
        <v>529</v>
      </c>
      <c r="B99" s="16" t="s">
        <v>510</v>
      </c>
      <c r="C99" s="16" t="s">
        <v>530</v>
      </c>
      <c r="D99" s="16" t="s">
        <v>45</v>
      </c>
      <c r="E99" s="16" t="s">
        <v>54</v>
      </c>
      <c r="F99" s="16" t="s">
        <v>216</v>
      </c>
      <c r="G99" s="16" t="s">
        <v>515</v>
      </c>
      <c r="H99" s="16" t="s">
        <v>531</v>
      </c>
    </row>
    <row r="100" customFormat="false" ht="23.85" hidden="false" customHeight="false" outlineLevel="0" collapsed="false">
      <c r="A100" s="12" t="s">
        <v>532</v>
      </c>
      <c r="B100" s="13" t="s">
        <v>510</v>
      </c>
      <c r="C100" s="13" t="s">
        <v>533</v>
      </c>
      <c r="D100" s="13" t="s">
        <v>46</v>
      </c>
      <c r="E100" s="13" t="s">
        <v>289</v>
      </c>
      <c r="F100" s="13" t="s">
        <v>216</v>
      </c>
      <c r="G100" s="13" t="s">
        <v>212</v>
      </c>
      <c r="H100" s="13" t="s">
        <v>534</v>
      </c>
    </row>
    <row r="101" customFormat="false" ht="23.85" hidden="false" customHeight="false" outlineLevel="0" collapsed="false">
      <c r="A101" s="15" t="s">
        <v>535</v>
      </c>
      <c r="B101" s="16" t="s">
        <v>510</v>
      </c>
      <c r="C101" s="16" t="s">
        <v>536</v>
      </c>
      <c r="D101" s="16" t="s">
        <v>45</v>
      </c>
      <c r="E101" s="16" t="s">
        <v>264</v>
      </c>
      <c r="F101" s="16" t="s">
        <v>205</v>
      </c>
      <c r="G101" s="16" t="s">
        <v>515</v>
      </c>
      <c r="H101" s="16" t="s">
        <v>537</v>
      </c>
    </row>
    <row r="102" customFormat="false" ht="23.85" hidden="false" customHeight="false" outlineLevel="0" collapsed="false">
      <c r="A102" s="12" t="s">
        <v>538</v>
      </c>
      <c r="B102" s="13" t="s">
        <v>106</v>
      </c>
      <c r="C102" s="13" t="s">
        <v>539</v>
      </c>
      <c r="D102" s="13" t="s">
        <v>43</v>
      </c>
      <c r="E102" s="13" t="s">
        <v>264</v>
      </c>
      <c r="F102" s="13" t="s">
        <v>205</v>
      </c>
      <c r="G102" s="13" t="s">
        <v>116</v>
      </c>
      <c r="H102" s="13" t="s">
        <v>540</v>
      </c>
    </row>
    <row r="103" customFormat="false" ht="23.85" hidden="false" customHeight="false" outlineLevel="0" collapsed="false">
      <c r="A103" s="15" t="s">
        <v>541</v>
      </c>
      <c r="B103" s="16" t="s">
        <v>106</v>
      </c>
      <c r="C103" s="16" t="s">
        <v>542</v>
      </c>
      <c r="D103" s="16" t="s">
        <v>44</v>
      </c>
      <c r="E103" s="16" t="s">
        <v>54</v>
      </c>
      <c r="F103" s="16" t="s">
        <v>205</v>
      </c>
      <c r="G103" s="16" t="s">
        <v>543</v>
      </c>
      <c r="H103" s="16" t="s">
        <v>544</v>
      </c>
    </row>
    <row r="104" customFormat="false" ht="23.85" hidden="false" customHeight="false" outlineLevel="0" collapsed="false">
      <c r="A104" s="12" t="s">
        <v>545</v>
      </c>
      <c r="B104" s="13" t="s">
        <v>106</v>
      </c>
      <c r="C104" s="13" t="s">
        <v>546</v>
      </c>
      <c r="D104" s="13" t="s">
        <v>45</v>
      </c>
      <c r="E104" s="13" t="s">
        <v>264</v>
      </c>
      <c r="F104" s="13" t="s">
        <v>216</v>
      </c>
      <c r="G104" s="13" t="s">
        <v>547</v>
      </c>
      <c r="H104" s="13" t="s">
        <v>548</v>
      </c>
    </row>
    <row r="105" customFormat="false" ht="23.85" hidden="false" customHeight="false" outlineLevel="0" collapsed="false">
      <c r="A105" s="15" t="s">
        <v>162</v>
      </c>
      <c r="B105" s="16" t="s">
        <v>106</v>
      </c>
      <c r="C105" s="16" t="s">
        <v>549</v>
      </c>
      <c r="D105" s="16" t="s">
        <v>45</v>
      </c>
      <c r="E105" s="16" t="s">
        <v>204</v>
      </c>
      <c r="F105" s="16" t="s">
        <v>205</v>
      </c>
      <c r="G105" s="16" t="s">
        <v>550</v>
      </c>
      <c r="H105" s="16" t="s">
        <v>551</v>
      </c>
    </row>
    <row r="106" customFormat="false" ht="23.85" hidden="false" customHeight="false" outlineLevel="0" collapsed="false">
      <c r="A106" s="12" t="s">
        <v>552</v>
      </c>
      <c r="B106" s="13" t="s">
        <v>106</v>
      </c>
      <c r="C106" s="13" t="s">
        <v>553</v>
      </c>
      <c r="D106" s="13" t="s">
        <v>45</v>
      </c>
      <c r="E106" s="13" t="s">
        <v>204</v>
      </c>
      <c r="F106" s="13" t="s">
        <v>216</v>
      </c>
      <c r="G106" s="13" t="s">
        <v>554</v>
      </c>
      <c r="H106" s="13" t="s">
        <v>555</v>
      </c>
    </row>
    <row r="107" customFormat="false" ht="15" hidden="false" customHeight="false" outlineLevel="0" collapsed="false">
      <c r="A107" s="15" t="s">
        <v>556</v>
      </c>
      <c r="B107" s="16" t="s">
        <v>106</v>
      </c>
      <c r="C107" s="16" t="s">
        <v>557</v>
      </c>
      <c r="D107" s="16" t="s">
        <v>45</v>
      </c>
      <c r="E107" s="16" t="s">
        <v>174</v>
      </c>
      <c r="F107" s="16" t="s">
        <v>216</v>
      </c>
      <c r="G107" s="16" t="s">
        <v>558</v>
      </c>
      <c r="H107" s="16" t="s">
        <v>559</v>
      </c>
    </row>
    <row r="108" customFormat="false" ht="15" hidden="false" customHeight="false" outlineLevel="0" collapsed="false">
      <c r="A108" s="12" t="s">
        <v>560</v>
      </c>
      <c r="B108" s="13" t="s">
        <v>106</v>
      </c>
      <c r="C108" s="13" t="s">
        <v>561</v>
      </c>
      <c r="D108" s="13" t="s">
        <v>45</v>
      </c>
      <c r="E108" s="13" t="s">
        <v>54</v>
      </c>
      <c r="F108" s="13" t="s">
        <v>205</v>
      </c>
      <c r="G108" s="13" t="s">
        <v>116</v>
      </c>
      <c r="H108" s="13" t="s">
        <v>562</v>
      </c>
    </row>
    <row r="109" customFormat="false" ht="15" hidden="false" customHeight="false" outlineLevel="0" collapsed="false">
      <c r="A109" s="15" t="s">
        <v>563</v>
      </c>
      <c r="B109" s="16" t="s">
        <v>564</v>
      </c>
      <c r="C109" s="16" t="s">
        <v>565</v>
      </c>
      <c r="D109" s="16" t="s">
        <v>46</v>
      </c>
      <c r="E109" s="16" t="s">
        <v>204</v>
      </c>
      <c r="F109" s="16" t="s">
        <v>205</v>
      </c>
      <c r="G109" s="16" t="s">
        <v>212</v>
      </c>
      <c r="H109" s="16" t="s">
        <v>566</v>
      </c>
    </row>
    <row r="110" customFormat="false" ht="15" hidden="false" customHeight="false" outlineLevel="0" collapsed="false">
      <c r="A110" s="12" t="s">
        <v>567</v>
      </c>
      <c r="B110" s="13" t="s">
        <v>564</v>
      </c>
      <c r="C110" s="13" t="s">
        <v>568</v>
      </c>
      <c r="D110" s="13" t="s">
        <v>46</v>
      </c>
      <c r="E110" s="13" t="s">
        <v>204</v>
      </c>
      <c r="F110" s="13" t="s">
        <v>205</v>
      </c>
      <c r="G110" s="13" t="s">
        <v>212</v>
      </c>
      <c r="H110" s="13" t="s">
        <v>569</v>
      </c>
    </row>
    <row r="111" customFormat="false" ht="23.85" hidden="false" customHeight="false" outlineLevel="0" collapsed="false">
      <c r="A111" s="15" t="s">
        <v>570</v>
      </c>
      <c r="B111" s="16" t="s">
        <v>282</v>
      </c>
      <c r="C111" s="16" t="s">
        <v>571</v>
      </c>
      <c r="D111" s="16" t="s">
        <v>44</v>
      </c>
      <c r="E111" s="16" t="s">
        <v>282</v>
      </c>
      <c r="F111" s="16" t="s">
        <v>216</v>
      </c>
      <c r="G111" s="16" t="s">
        <v>572</v>
      </c>
      <c r="H111" s="16" t="s">
        <v>573</v>
      </c>
    </row>
    <row r="112" customFormat="false" ht="23.85" hidden="false" customHeight="false" outlineLevel="0" collapsed="false">
      <c r="A112" s="12" t="s">
        <v>574</v>
      </c>
      <c r="B112" s="13" t="s">
        <v>282</v>
      </c>
      <c r="C112" s="13" t="s">
        <v>575</v>
      </c>
      <c r="D112" s="13" t="s">
        <v>44</v>
      </c>
      <c r="E112" s="13" t="s">
        <v>282</v>
      </c>
      <c r="F112" s="13" t="s">
        <v>216</v>
      </c>
      <c r="G112" s="13" t="s">
        <v>576</v>
      </c>
      <c r="H112" s="13" t="s">
        <v>577</v>
      </c>
    </row>
    <row r="113" customFormat="false" ht="23.85" hidden="false" customHeight="false" outlineLevel="0" collapsed="false">
      <c r="A113" s="15" t="s">
        <v>578</v>
      </c>
      <c r="B113" s="16" t="s">
        <v>282</v>
      </c>
      <c r="C113" s="16" t="s">
        <v>579</v>
      </c>
      <c r="D113" s="16" t="s">
        <v>45</v>
      </c>
      <c r="E113" s="16" t="s">
        <v>282</v>
      </c>
      <c r="F113" s="16" t="s">
        <v>216</v>
      </c>
      <c r="G113" s="16" t="s">
        <v>580</v>
      </c>
      <c r="H113" s="16" t="s">
        <v>581</v>
      </c>
    </row>
    <row r="114" customFormat="false" ht="23.85" hidden="false" customHeight="false" outlineLevel="0" collapsed="false">
      <c r="A114" s="12" t="s">
        <v>582</v>
      </c>
      <c r="B114" s="13" t="s">
        <v>282</v>
      </c>
      <c r="C114" s="13" t="s">
        <v>583</v>
      </c>
      <c r="D114" s="13" t="s">
        <v>45</v>
      </c>
      <c r="E114" s="13" t="s">
        <v>282</v>
      </c>
      <c r="F114" s="13" t="s">
        <v>216</v>
      </c>
      <c r="G114" s="13" t="s">
        <v>580</v>
      </c>
      <c r="H114" s="13" t="s">
        <v>584</v>
      </c>
    </row>
    <row r="115" customFormat="false" ht="23.85" hidden="false" customHeight="false" outlineLevel="0" collapsed="false">
      <c r="A115" s="15" t="s">
        <v>585</v>
      </c>
      <c r="B115" s="16" t="s">
        <v>282</v>
      </c>
      <c r="C115" s="16" t="s">
        <v>586</v>
      </c>
      <c r="D115" s="16" t="s">
        <v>46</v>
      </c>
      <c r="E115" s="16" t="s">
        <v>282</v>
      </c>
      <c r="F115" s="16" t="s">
        <v>216</v>
      </c>
      <c r="G115" s="16" t="s">
        <v>587</v>
      </c>
      <c r="H115" s="16" t="s">
        <v>588</v>
      </c>
    </row>
    <row r="116" customFormat="false" ht="23.85" hidden="false" customHeight="false" outlineLevel="0" collapsed="false">
      <c r="A116" s="12" t="s">
        <v>589</v>
      </c>
      <c r="B116" s="13" t="s">
        <v>282</v>
      </c>
      <c r="C116" s="13" t="s">
        <v>590</v>
      </c>
      <c r="D116" s="13" t="s">
        <v>46</v>
      </c>
      <c r="E116" s="13" t="s">
        <v>289</v>
      </c>
      <c r="F116" s="13" t="s">
        <v>216</v>
      </c>
      <c r="G116" s="13" t="s">
        <v>591</v>
      </c>
      <c r="H116" s="13" t="s">
        <v>592</v>
      </c>
    </row>
    <row r="117" customFormat="false" ht="23.85" hidden="false" customHeight="false" outlineLevel="0" collapsed="false">
      <c r="A117" s="15" t="s">
        <v>593</v>
      </c>
      <c r="B117" s="16" t="s">
        <v>282</v>
      </c>
      <c r="C117" s="16" t="s">
        <v>594</v>
      </c>
      <c r="D117" s="16" t="s">
        <v>45</v>
      </c>
      <c r="E117" s="16" t="s">
        <v>282</v>
      </c>
      <c r="F117" s="16" t="s">
        <v>216</v>
      </c>
      <c r="G117" s="16" t="s">
        <v>580</v>
      </c>
      <c r="H117" s="16" t="s">
        <v>595</v>
      </c>
    </row>
    <row r="118" customFormat="false" ht="15" hidden="false" customHeight="false" outlineLevel="0" collapsed="false">
      <c r="A118" s="12" t="s">
        <v>596</v>
      </c>
      <c r="B118" s="13" t="s">
        <v>282</v>
      </c>
      <c r="C118" s="13" t="s">
        <v>597</v>
      </c>
      <c r="D118" s="13" t="s">
        <v>46</v>
      </c>
      <c r="E118" s="13" t="s">
        <v>282</v>
      </c>
      <c r="F118" s="13" t="s">
        <v>216</v>
      </c>
      <c r="G118" s="13" t="s">
        <v>580</v>
      </c>
      <c r="H118" s="13" t="s">
        <v>598</v>
      </c>
    </row>
    <row r="119" customFormat="false" ht="23.85" hidden="false" customHeight="false" outlineLevel="0" collapsed="false">
      <c r="A119" s="15" t="s">
        <v>599</v>
      </c>
      <c r="B119" s="16" t="s">
        <v>282</v>
      </c>
      <c r="C119" s="16" t="s">
        <v>600</v>
      </c>
      <c r="D119" s="16" t="s">
        <v>46</v>
      </c>
      <c r="E119" s="16" t="s">
        <v>282</v>
      </c>
      <c r="F119" s="16" t="s">
        <v>216</v>
      </c>
      <c r="G119" s="16" t="s">
        <v>576</v>
      </c>
      <c r="H119" s="16" t="s">
        <v>601</v>
      </c>
    </row>
    <row r="120" customFormat="false" ht="15" hidden="false" customHeight="false" outlineLevel="0" collapsed="false">
      <c r="A120" s="12" t="s">
        <v>602</v>
      </c>
      <c r="B120" s="13" t="s">
        <v>603</v>
      </c>
      <c r="C120" s="13" t="s">
        <v>604</v>
      </c>
      <c r="D120" s="13" t="s">
        <v>45</v>
      </c>
      <c r="E120" s="13" t="s">
        <v>54</v>
      </c>
      <c r="F120" s="13" t="s">
        <v>205</v>
      </c>
      <c r="G120" s="13" t="s">
        <v>605</v>
      </c>
      <c r="H120" s="13" t="s">
        <v>606</v>
      </c>
    </row>
    <row r="121" customFormat="false" ht="15" hidden="false" customHeight="false" outlineLevel="0" collapsed="false">
      <c r="A121" s="15" t="s">
        <v>607</v>
      </c>
      <c r="B121" s="16" t="s">
        <v>603</v>
      </c>
      <c r="C121" s="16" t="s">
        <v>608</v>
      </c>
      <c r="D121" s="16" t="s">
        <v>46</v>
      </c>
      <c r="E121" s="16" t="s">
        <v>264</v>
      </c>
      <c r="F121" s="16" t="s">
        <v>216</v>
      </c>
      <c r="G121" s="16" t="s">
        <v>212</v>
      </c>
      <c r="H121" s="16" t="s">
        <v>609</v>
      </c>
    </row>
    <row r="122" customFormat="false" ht="23.85" hidden="false" customHeight="false" outlineLevel="0" collapsed="false">
      <c r="A122" s="12" t="s">
        <v>610</v>
      </c>
      <c r="B122" s="13" t="s">
        <v>164</v>
      </c>
      <c r="C122" s="13" t="s">
        <v>611</v>
      </c>
      <c r="D122" s="13" t="s">
        <v>44</v>
      </c>
      <c r="E122" s="13" t="s">
        <v>164</v>
      </c>
      <c r="F122" s="13" t="s">
        <v>205</v>
      </c>
      <c r="G122" s="13" t="s">
        <v>612</v>
      </c>
      <c r="H122" s="13" t="s">
        <v>613</v>
      </c>
    </row>
    <row r="123" customFormat="false" ht="15" hidden="false" customHeight="false" outlineLevel="0" collapsed="false">
      <c r="A123" s="15" t="s">
        <v>614</v>
      </c>
      <c r="B123" s="16" t="s">
        <v>164</v>
      </c>
      <c r="C123" s="16" t="s">
        <v>615</v>
      </c>
      <c r="D123" s="16" t="s">
        <v>44</v>
      </c>
      <c r="E123" s="16" t="s">
        <v>164</v>
      </c>
      <c r="F123" s="16" t="s">
        <v>216</v>
      </c>
      <c r="G123" s="16" t="s">
        <v>612</v>
      </c>
      <c r="H123" s="16" t="s">
        <v>616</v>
      </c>
    </row>
    <row r="124" customFormat="false" ht="15" hidden="false" customHeight="false" outlineLevel="0" collapsed="false">
      <c r="A124" s="12" t="s">
        <v>617</v>
      </c>
      <c r="B124" s="13" t="s">
        <v>618</v>
      </c>
      <c r="C124" s="13" t="s">
        <v>619</v>
      </c>
      <c r="D124" s="13" t="s">
        <v>44</v>
      </c>
      <c r="E124" s="13" t="s">
        <v>618</v>
      </c>
      <c r="F124" s="13" t="s">
        <v>216</v>
      </c>
      <c r="G124" s="13" t="s">
        <v>620</v>
      </c>
      <c r="H124" s="13" t="s">
        <v>621</v>
      </c>
    </row>
    <row r="125" customFormat="false" ht="15" hidden="false" customHeight="false" outlineLevel="0" collapsed="false">
      <c r="A125" s="15" t="s">
        <v>622</v>
      </c>
      <c r="B125" s="16" t="s">
        <v>618</v>
      </c>
      <c r="C125" s="16" t="s">
        <v>623</v>
      </c>
      <c r="D125" s="16" t="s">
        <v>45</v>
      </c>
      <c r="E125" s="16" t="s">
        <v>618</v>
      </c>
      <c r="F125" s="16" t="s">
        <v>216</v>
      </c>
      <c r="G125" s="16" t="s">
        <v>620</v>
      </c>
      <c r="H125" s="16" t="s">
        <v>624</v>
      </c>
    </row>
    <row r="126" customFormat="false" ht="23.85" hidden="false" customHeight="false" outlineLevel="0" collapsed="false">
      <c r="A126" s="12" t="s">
        <v>625</v>
      </c>
      <c r="B126" s="13" t="s">
        <v>618</v>
      </c>
      <c r="C126" s="13" t="s">
        <v>626</v>
      </c>
      <c r="D126" s="13" t="s">
        <v>45</v>
      </c>
      <c r="E126" s="13" t="s">
        <v>618</v>
      </c>
      <c r="F126" s="13" t="s">
        <v>216</v>
      </c>
      <c r="G126" s="13" t="s">
        <v>620</v>
      </c>
      <c r="H126" s="13" t="s">
        <v>627</v>
      </c>
    </row>
    <row r="127" customFormat="false" ht="23.85" hidden="false" customHeight="false" outlineLevel="0" collapsed="false">
      <c r="A127" s="15" t="s">
        <v>628</v>
      </c>
      <c r="B127" s="16" t="s">
        <v>618</v>
      </c>
      <c r="C127" s="16" t="s">
        <v>629</v>
      </c>
      <c r="D127" s="16" t="s">
        <v>45</v>
      </c>
      <c r="E127" s="16" t="s">
        <v>618</v>
      </c>
      <c r="F127" s="16" t="s">
        <v>216</v>
      </c>
      <c r="G127" s="16" t="s">
        <v>630</v>
      </c>
      <c r="H127" s="16" t="s">
        <v>631</v>
      </c>
    </row>
    <row r="128" customFormat="false" ht="23.85" hidden="false" customHeight="false" outlineLevel="0" collapsed="false">
      <c r="A128" s="12" t="s">
        <v>632</v>
      </c>
      <c r="B128" s="13" t="s">
        <v>618</v>
      </c>
      <c r="C128" s="13" t="s">
        <v>633</v>
      </c>
      <c r="D128" s="13" t="s">
        <v>45</v>
      </c>
      <c r="E128" s="13" t="s">
        <v>618</v>
      </c>
      <c r="F128" s="13" t="s">
        <v>216</v>
      </c>
      <c r="G128" s="13" t="s">
        <v>630</v>
      </c>
      <c r="H128" s="13" t="s">
        <v>634</v>
      </c>
    </row>
    <row r="129" customFormat="false" ht="23.85" hidden="false" customHeight="false" outlineLevel="0" collapsed="false">
      <c r="A129" s="15" t="s">
        <v>635</v>
      </c>
      <c r="B129" s="16" t="s">
        <v>618</v>
      </c>
      <c r="C129" s="16" t="s">
        <v>636</v>
      </c>
      <c r="D129" s="16" t="s">
        <v>46</v>
      </c>
      <c r="E129" s="16" t="s">
        <v>618</v>
      </c>
      <c r="F129" s="16" t="s">
        <v>216</v>
      </c>
      <c r="G129" s="16" t="s">
        <v>630</v>
      </c>
      <c r="H129" s="16" t="s">
        <v>637</v>
      </c>
    </row>
    <row r="130" customFormat="false" ht="15" hidden="false" customHeight="false" outlineLevel="0" collapsed="false">
      <c r="A130" s="12" t="s">
        <v>638</v>
      </c>
      <c r="B130" s="13" t="s">
        <v>618</v>
      </c>
      <c r="C130" s="13" t="s">
        <v>639</v>
      </c>
      <c r="D130" s="13" t="s">
        <v>46</v>
      </c>
      <c r="E130" s="13" t="s">
        <v>618</v>
      </c>
      <c r="F130" s="13" t="s">
        <v>216</v>
      </c>
      <c r="G130" s="13" t="s">
        <v>640</v>
      </c>
      <c r="H130" s="13" t="s">
        <v>641</v>
      </c>
    </row>
    <row r="131" customFormat="false" ht="23.85" hidden="false" customHeight="false" outlineLevel="0" collapsed="false">
      <c r="A131" s="15" t="s">
        <v>642</v>
      </c>
      <c r="B131" s="16" t="s">
        <v>618</v>
      </c>
      <c r="C131" s="16" t="s">
        <v>643</v>
      </c>
      <c r="D131" s="16" t="s">
        <v>45</v>
      </c>
      <c r="E131" s="16" t="s">
        <v>618</v>
      </c>
      <c r="F131" s="16" t="s">
        <v>216</v>
      </c>
      <c r="G131" s="16" t="s">
        <v>640</v>
      </c>
      <c r="H131" s="16" t="s">
        <v>644</v>
      </c>
    </row>
    <row r="132" customFormat="false" ht="15" hidden="false" customHeight="false" outlineLevel="0" collapsed="false">
      <c r="A132" s="12" t="s">
        <v>645</v>
      </c>
      <c r="B132" s="13" t="s">
        <v>289</v>
      </c>
      <c r="C132" s="13" t="s">
        <v>646</v>
      </c>
      <c r="D132" s="13" t="s">
        <v>44</v>
      </c>
      <c r="E132" s="13" t="s">
        <v>289</v>
      </c>
      <c r="F132" s="13" t="s">
        <v>216</v>
      </c>
      <c r="G132" s="13" t="s">
        <v>647</v>
      </c>
      <c r="H132" s="13" t="s">
        <v>648</v>
      </c>
    </row>
    <row r="133" customFormat="false" ht="15" hidden="false" customHeight="false" outlineLevel="0" collapsed="false">
      <c r="A133" s="15" t="s">
        <v>649</v>
      </c>
      <c r="B133" s="16" t="s">
        <v>289</v>
      </c>
      <c r="C133" s="16" t="s">
        <v>650</v>
      </c>
      <c r="D133" s="16" t="s">
        <v>44</v>
      </c>
      <c r="E133" s="16" t="s">
        <v>289</v>
      </c>
      <c r="F133" s="16" t="s">
        <v>216</v>
      </c>
      <c r="G133" s="16" t="s">
        <v>647</v>
      </c>
      <c r="H133" s="16" t="s">
        <v>651</v>
      </c>
    </row>
    <row r="134" customFormat="false" ht="23.85" hidden="false" customHeight="false" outlineLevel="0" collapsed="false">
      <c r="A134" s="12" t="s">
        <v>652</v>
      </c>
      <c r="B134" s="13" t="s">
        <v>289</v>
      </c>
      <c r="C134" s="13" t="s">
        <v>653</v>
      </c>
      <c r="D134" s="13" t="s">
        <v>43</v>
      </c>
      <c r="E134" s="13" t="s">
        <v>289</v>
      </c>
      <c r="F134" s="13" t="s">
        <v>216</v>
      </c>
      <c r="G134" s="13" t="s">
        <v>654</v>
      </c>
      <c r="H134" s="13" t="s">
        <v>655</v>
      </c>
    </row>
    <row r="135" customFormat="false" ht="23.85" hidden="false" customHeight="false" outlineLevel="0" collapsed="false">
      <c r="A135" s="15" t="s">
        <v>656</v>
      </c>
      <c r="B135" s="16" t="s">
        <v>289</v>
      </c>
      <c r="C135" s="16" t="s">
        <v>657</v>
      </c>
      <c r="D135" s="16" t="s">
        <v>44</v>
      </c>
      <c r="E135" s="16" t="s">
        <v>289</v>
      </c>
      <c r="F135" s="16" t="s">
        <v>216</v>
      </c>
      <c r="G135" s="16" t="s">
        <v>654</v>
      </c>
      <c r="H135" s="16" t="s">
        <v>658</v>
      </c>
    </row>
    <row r="136" customFormat="false" ht="15" hidden="false" customHeight="false" outlineLevel="0" collapsed="false">
      <c r="A136" s="12" t="s">
        <v>659</v>
      </c>
      <c r="B136" s="13" t="s">
        <v>289</v>
      </c>
      <c r="C136" s="13" t="s">
        <v>660</v>
      </c>
      <c r="D136" s="13" t="s">
        <v>45</v>
      </c>
      <c r="E136" s="13" t="s">
        <v>289</v>
      </c>
      <c r="F136" s="13" t="s">
        <v>216</v>
      </c>
      <c r="G136" s="13" t="s">
        <v>661</v>
      </c>
      <c r="H136" s="13" t="s">
        <v>662</v>
      </c>
    </row>
    <row r="137" customFormat="false" ht="23.85" hidden="false" customHeight="false" outlineLevel="0" collapsed="false">
      <c r="A137" s="15" t="s">
        <v>663</v>
      </c>
      <c r="B137" s="16" t="s">
        <v>289</v>
      </c>
      <c r="C137" s="16" t="s">
        <v>664</v>
      </c>
      <c r="D137" s="16" t="s">
        <v>46</v>
      </c>
      <c r="E137" s="16" t="s">
        <v>289</v>
      </c>
      <c r="F137" s="16" t="s">
        <v>216</v>
      </c>
      <c r="G137" s="16" t="s">
        <v>665</v>
      </c>
      <c r="H137" s="16" t="s">
        <v>666</v>
      </c>
    </row>
    <row r="138" customFormat="false" ht="23.85" hidden="false" customHeight="false" outlineLevel="0" collapsed="false">
      <c r="A138" s="12" t="s">
        <v>667</v>
      </c>
      <c r="B138" s="13" t="s">
        <v>289</v>
      </c>
      <c r="C138" s="13" t="s">
        <v>668</v>
      </c>
      <c r="D138" s="13" t="s">
        <v>46</v>
      </c>
      <c r="E138" s="13" t="s">
        <v>289</v>
      </c>
      <c r="F138" s="13" t="s">
        <v>216</v>
      </c>
      <c r="G138" s="13" t="s">
        <v>669</v>
      </c>
      <c r="H138" s="13" t="s">
        <v>670</v>
      </c>
    </row>
    <row r="139" customFormat="false" ht="23.85" hidden="false" customHeight="false" outlineLevel="0" collapsed="false">
      <c r="A139" s="15" t="s">
        <v>671</v>
      </c>
      <c r="B139" s="16" t="s">
        <v>289</v>
      </c>
      <c r="C139" s="16" t="s">
        <v>672</v>
      </c>
      <c r="D139" s="16" t="s">
        <v>45</v>
      </c>
      <c r="E139" s="16" t="s">
        <v>289</v>
      </c>
      <c r="F139" s="16" t="s">
        <v>216</v>
      </c>
      <c r="G139" s="16" t="s">
        <v>654</v>
      </c>
      <c r="H139" s="16" t="s">
        <v>673</v>
      </c>
    </row>
    <row r="140" customFormat="false" ht="23.85" hidden="false" customHeight="false" outlineLevel="0" collapsed="false">
      <c r="A140" s="12" t="s">
        <v>674</v>
      </c>
      <c r="B140" s="13" t="s">
        <v>289</v>
      </c>
      <c r="C140" s="13" t="s">
        <v>675</v>
      </c>
      <c r="D140" s="13" t="s">
        <v>44</v>
      </c>
      <c r="E140" s="13" t="s">
        <v>289</v>
      </c>
      <c r="F140" s="13" t="s">
        <v>216</v>
      </c>
      <c r="G140" s="13" t="s">
        <v>654</v>
      </c>
      <c r="H140" s="13" t="s">
        <v>676</v>
      </c>
    </row>
    <row r="141" customFormat="false" ht="15" hidden="false" customHeight="false" outlineLevel="0" collapsed="false">
      <c r="A141" s="15" t="s">
        <v>677</v>
      </c>
      <c r="B141" s="16" t="s">
        <v>174</v>
      </c>
      <c r="C141" s="16" t="s">
        <v>678</v>
      </c>
      <c r="D141" s="16" t="s">
        <v>45</v>
      </c>
      <c r="E141" s="16" t="s">
        <v>174</v>
      </c>
      <c r="F141" s="16" t="s">
        <v>216</v>
      </c>
      <c r="G141" s="16" t="s">
        <v>173</v>
      </c>
      <c r="H141" s="16" t="s">
        <v>679</v>
      </c>
    </row>
    <row r="142" customFormat="false" ht="23.85" hidden="false" customHeight="false" outlineLevel="0" collapsed="false">
      <c r="A142" s="12" t="s">
        <v>680</v>
      </c>
      <c r="B142" s="13" t="s">
        <v>174</v>
      </c>
      <c r="C142" s="13" t="s">
        <v>681</v>
      </c>
      <c r="D142" s="13" t="s">
        <v>45</v>
      </c>
      <c r="E142" s="13" t="s">
        <v>174</v>
      </c>
      <c r="F142" s="13" t="s">
        <v>216</v>
      </c>
      <c r="G142" s="13" t="s">
        <v>179</v>
      </c>
      <c r="H142" s="13" t="s">
        <v>682</v>
      </c>
    </row>
    <row r="143" customFormat="false" ht="23.85" hidden="false" customHeight="false" outlineLevel="0" collapsed="false">
      <c r="A143" s="15" t="s">
        <v>683</v>
      </c>
      <c r="B143" s="16" t="s">
        <v>174</v>
      </c>
      <c r="C143" s="16" t="s">
        <v>684</v>
      </c>
      <c r="D143" s="16" t="s">
        <v>45</v>
      </c>
      <c r="E143" s="16" t="s">
        <v>174</v>
      </c>
      <c r="F143" s="16" t="s">
        <v>216</v>
      </c>
      <c r="G143" s="16" t="s">
        <v>183</v>
      </c>
      <c r="H143" s="16" t="s">
        <v>685</v>
      </c>
    </row>
    <row r="144" customFormat="false" ht="15" hidden="false" customHeight="false" outlineLevel="0" collapsed="false">
      <c r="A144" s="12" t="s">
        <v>686</v>
      </c>
      <c r="B144" s="13" t="s">
        <v>174</v>
      </c>
      <c r="C144" s="13" t="s">
        <v>687</v>
      </c>
      <c r="D144" s="13" t="s">
        <v>45</v>
      </c>
      <c r="E144" s="13" t="s">
        <v>174</v>
      </c>
      <c r="F144" s="13" t="s">
        <v>216</v>
      </c>
      <c r="G144" s="13" t="s">
        <v>688</v>
      </c>
      <c r="H144" s="13" t="s">
        <v>689</v>
      </c>
    </row>
    <row r="145" customFormat="false" ht="15" hidden="false" customHeight="false" outlineLevel="0" collapsed="false">
      <c r="A145" s="15" t="s">
        <v>690</v>
      </c>
      <c r="B145" s="16" t="s">
        <v>174</v>
      </c>
      <c r="C145" s="16" t="s">
        <v>691</v>
      </c>
      <c r="D145" s="16" t="s">
        <v>46</v>
      </c>
      <c r="E145" s="16" t="s">
        <v>174</v>
      </c>
      <c r="F145" s="16" t="s">
        <v>216</v>
      </c>
      <c r="G145" s="16" t="s">
        <v>179</v>
      </c>
      <c r="H145" s="16" t="s">
        <v>692</v>
      </c>
    </row>
    <row r="146" customFormat="false" ht="23.85" hidden="false" customHeight="false" outlineLevel="0" collapsed="false">
      <c r="A146" s="12" t="s">
        <v>693</v>
      </c>
      <c r="B146" s="13" t="s">
        <v>174</v>
      </c>
      <c r="C146" s="13" t="s">
        <v>694</v>
      </c>
      <c r="D146" s="13" t="s">
        <v>46</v>
      </c>
      <c r="E146" s="13" t="s">
        <v>174</v>
      </c>
      <c r="F146" s="13" t="s">
        <v>216</v>
      </c>
      <c r="G146" s="13" t="s">
        <v>173</v>
      </c>
      <c r="H146" s="13" t="s">
        <v>695</v>
      </c>
    </row>
    <row r="147" customFormat="false" ht="23.85" hidden="false" customHeight="false" outlineLevel="0" collapsed="false">
      <c r="A147" s="15" t="s">
        <v>696</v>
      </c>
      <c r="B147" s="16" t="s">
        <v>174</v>
      </c>
      <c r="C147" s="16" t="s">
        <v>697</v>
      </c>
      <c r="D147" s="16" t="s">
        <v>46</v>
      </c>
      <c r="E147" s="16" t="s">
        <v>174</v>
      </c>
      <c r="F147" s="16" t="s">
        <v>216</v>
      </c>
      <c r="G147" s="16" t="s">
        <v>179</v>
      </c>
      <c r="H147" s="16" t="s">
        <v>698</v>
      </c>
    </row>
    <row r="148" customFormat="false" ht="23.85" hidden="false" customHeight="false" outlineLevel="0" collapsed="false">
      <c r="A148" s="12" t="s">
        <v>699</v>
      </c>
      <c r="B148" s="13" t="s">
        <v>174</v>
      </c>
      <c r="C148" s="13" t="s">
        <v>700</v>
      </c>
      <c r="D148" s="13" t="s">
        <v>46</v>
      </c>
      <c r="E148" s="13" t="s">
        <v>174</v>
      </c>
      <c r="F148" s="13" t="s">
        <v>216</v>
      </c>
      <c r="G148" s="13" t="s">
        <v>701</v>
      </c>
      <c r="H148" s="13" t="s">
        <v>702</v>
      </c>
    </row>
    <row r="149" customFormat="false" ht="23.85" hidden="false" customHeight="false" outlineLevel="0" collapsed="false">
      <c r="A149" s="15" t="s">
        <v>703</v>
      </c>
      <c r="B149" s="16" t="s">
        <v>704</v>
      </c>
      <c r="C149" s="16" t="s">
        <v>705</v>
      </c>
      <c r="D149" s="16" t="s">
        <v>44</v>
      </c>
      <c r="E149" s="16" t="s">
        <v>54</v>
      </c>
      <c r="F149" s="16" t="s">
        <v>216</v>
      </c>
      <c r="G149" s="16" t="s">
        <v>587</v>
      </c>
      <c r="H149" s="16" t="s">
        <v>706</v>
      </c>
    </row>
    <row r="150" customFormat="false" ht="15" hidden="false" customHeight="false" outlineLevel="0" collapsed="false">
      <c r="A150" s="12" t="s">
        <v>707</v>
      </c>
      <c r="B150" s="13" t="s">
        <v>704</v>
      </c>
      <c r="C150" s="13" t="s">
        <v>708</v>
      </c>
      <c r="D150" s="13" t="s">
        <v>46</v>
      </c>
      <c r="E150" s="13" t="s">
        <v>289</v>
      </c>
      <c r="F150" s="13" t="s">
        <v>216</v>
      </c>
      <c r="G150" s="13" t="s">
        <v>212</v>
      </c>
      <c r="H150" s="13" t="s">
        <v>709</v>
      </c>
    </row>
    <row r="151" customFormat="false" ht="23.85" hidden="false" customHeight="false" outlineLevel="0" collapsed="false">
      <c r="A151" s="15" t="s">
        <v>710</v>
      </c>
      <c r="B151" s="16" t="s">
        <v>704</v>
      </c>
      <c r="C151" s="16" t="s">
        <v>711</v>
      </c>
      <c r="D151" s="16" t="s">
        <v>46</v>
      </c>
      <c r="E151" s="16" t="s">
        <v>54</v>
      </c>
      <c r="F151" s="16" t="s">
        <v>216</v>
      </c>
      <c r="G151" s="16" t="s">
        <v>712</v>
      </c>
      <c r="H151" s="16" t="s">
        <v>713</v>
      </c>
    </row>
    <row r="152" customFormat="false" ht="15" hidden="false" customHeight="false" outlineLevel="0" collapsed="false">
      <c r="A152" s="12" t="s">
        <v>714</v>
      </c>
      <c r="B152" s="13" t="s">
        <v>704</v>
      </c>
      <c r="C152" s="13" t="s">
        <v>715</v>
      </c>
      <c r="D152" s="13" t="s">
        <v>46</v>
      </c>
      <c r="E152" s="13" t="s">
        <v>282</v>
      </c>
      <c r="F152" s="13" t="s">
        <v>216</v>
      </c>
      <c r="G152" s="13" t="s">
        <v>587</v>
      </c>
      <c r="H152" s="13" t="s">
        <v>716</v>
      </c>
    </row>
    <row r="153" customFormat="false" ht="23.85" hidden="false" customHeight="false" outlineLevel="0" collapsed="false">
      <c r="A153" s="15" t="s">
        <v>131</v>
      </c>
      <c r="B153" s="16" t="s">
        <v>717</v>
      </c>
      <c r="C153" s="16" t="s">
        <v>718</v>
      </c>
      <c r="D153" s="16" t="s">
        <v>46</v>
      </c>
      <c r="E153" s="16" t="s">
        <v>54</v>
      </c>
      <c r="F153" s="16" t="s">
        <v>216</v>
      </c>
      <c r="G153" s="16" t="s">
        <v>719</v>
      </c>
      <c r="H153" s="16" t="s">
        <v>720</v>
      </c>
    </row>
    <row r="154" customFormat="false" ht="23.85" hidden="false" customHeight="false" outlineLevel="0" collapsed="false">
      <c r="A154" s="12" t="s">
        <v>721</v>
      </c>
      <c r="B154" s="13" t="s">
        <v>722</v>
      </c>
      <c r="C154" s="13" t="s">
        <v>723</v>
      </c>
      <c r="D154" s="13" t="s">
        <v>46</v>
      </c>
      <c r="E154" s="13" t="s">
        <v>204</v>
      </c>
      <c r="F154" s="13" t="s">
        <v>216</v>
      </c>
      <c r="G154" s="13" t="s">
        <v>163</v>
      </c>
      <c r="H154" s="13" t="s">
        <v>724</v>
      </c>
    </row>
    <row r="155" customFormat="false" ht="23.85" hidden="false" customHeight="false" outlineLevel="0" collapsed="false">
      <c r="A155" s="15" t="s">
        <v>725</v>
      </c>
      <c r="B155" s="16" t="s">
        <v>722</v>
      </c>
      <c r="C155" s="16" t="s">
        <v>726</v>
      </c>
      <c r="D155" s="16" t="s">
        <v>46</v>
      </c>
      <c r="E155" s="16" t="s">
        <v>204</v>
      </c>
      <c r="F155" s="16" t="s">
        <v>216</v>
      </c>
      <c r="G155" s="16" t="s">
        <v>163</v>
      </c>
      <c r="H155" s="16" t="s">
        <v>727</v>
      </c>
    </row>
    <row r="156" customFormat="false" ht="23.85" hidden="false" customHeight="false" outlineLevel="0" collapsed="false">
      <c r="A156" s="12" t="s">
        <v>728</v>
      </c>
      <c r="B156" s="13" t="s">
        <v>722</v>
      </c>
      <c r="C156" s="13" t="s">
        <v>729</v>
      </c>
      <c r="D156" s="13" t="s">
        <v>46</v>
      </c>
      <c r="E156" s="13" t="s">
        <v>204</v>
      </c>
      <c r="F156" s="13" t="s">
        <v>216</v>
      </c>
      <c r="G156" s="13" t="s">
        <v>212</v>
      </c>
      <c r="H156" s="13" t="s">
        <v>730</v>
      </c>
    </row>
    <row r="157" customFormat="false" ht="23.85" hidden="false" customHeight="false" outlineLevel="0" collapsed="false">
      <c r="A157" s="15" t="s">
        <v>731</v>
      </c>
      <c r="B157" s="16" t="s">
        <v>722</v>
      </c>
      <c r="C157" s="16" t="s">
        <v>732</v>
      </c>
      <c r="D157" s="16" t="s">
        <v>46</v>
      </c>
      <c r="E157" s="16" t="s">
        <v>264</v>
      </c>
      <c r="F157" s="16" t="s">
        <v>216</v>
      </c>
      <c r="G157" s="16" t="s">
        <v>212</v>
      </c>
      <c r="H157" s="16" t="s">
        <v>733</v>
      </c>
    </row>
    <row r="158" customFormat="false" ht="15" hidden="false" customHeight="false" outlineLevel="0" collapsed="false">
      <c r="A158" s="12" t="s">
        <v>734</v>
      </c>
      <c r="B158" s="13" t="s">
        <v>722</v>
      </c>
      <c r="C158" s="13" t="s">
        <v>735</v>
      </c>
      <c r="D158" s="13" t="s">
        <v>46</v>
      </c>
      <c r="E158" s="13" t="s">
        <v>282</v>
      </c>
      <c r="F158" s="13" t="s">
        <v>216</v>
      </c>
      <c r="G158" s="13" t="s">
        <v>580</v>
      </c>
      <c r="H158" s="13" t="s">
        <v>736</v>
      </c>
    </row>
    <row r="159" customFormat="false" ht="15" hidden="false" customHeight="false" outlineLevel="0" collapsed="false">
      <c r="A159" s="15" t="s">
        <v>737</v>
      </c>
      <c r="B159" s="16" t="s">
        <v>722</v>
      </c>
      <c r="C159" s="16" t="s">
        <v>738</v>
      </c>
      <c r="D159" s="16" t="s">
        <v>46</v>
      </c>
      <c r="E159" s="16" t="s">
        <v>204</v>
      </c>
      <c r="F159" s="16" t="s">
        <v>216</v>
      </c>
      <c r="G159" s="16" t="s">
        <v>212</v>
      </c>
      <c r="H159" s="16" t="s">
        <v>739</v>
      </c>
    </row>
  </sheetData>
  <autoFilter ref="A1:H1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3" min="3" style="0" width="9"/>
    <col collapsed="false" customWidth="true" hidden="false" outlineLevel="0" max="4" min="4" style="0" width="16"/>
    <col collapsed="false" customWidth="true" hidden="false" outlineLevel="0" max="5" min="5" style="0" width="30"/>
    <col collapsed="false" customWidth="true" hidden="false" outlineLevel="0" max="6" min="6" style="0" width="16"/>
  </cols>
  <sheetData>
    <row r="1" customFormat="false" ht="31.5" hidden="false" customHeight="true" outlineLevel="0" collapsed="false">
      <c r="A1" s="7" t="s">
        <v>188</v>
      </c>
      <c r="B1" s="7" t="s">
        <v>190</v>
      </c>
      <c r="C1" s="7" t="s">
        <v>191</v>
      </c>
      <c r="D1" s="7" t="s">
        <v>189</v>
      </c>
      <c r="E1" s="7" t="s">
        <v>740</v>
      </c>
      <c r="F1" s="7" t="s">
        <v>741</v>
      </c>
    </row>
    <row r="2" customFormat="false" ht="15" hidden="false" customHeight="false" outlineLevel="0" collapsed="false">
      <c r="A2" s="12" t="s">
        <v>195</v>
      </c>
      <c r="B2" s="13" t="s">
        <v>196</v>
      </c>
      <c r="C2" s="13" t="s">
        <v>43</v>
      </c>
      <c r="D2" s="13" t="s">
        <v>133</v>
      </c>
      <c r="E2" s="13" t="s">
        <v>742</v>
      </c>
      <c r="F2" s="14" t="s">
        <v>743</v>
      </c>
    </row>
    <row r="3" customFormat="false" ht="15" hidden="false" customHeight="false" outlineLevel="0" collapsed="false">
      <c r="A3" s="15" t="s">
        <v>199</v>
      </c>
      <c r="B3" s="16" t="s">
        <v>200</v>
      </c>
      <c r="C3" s="16" t="s">
        <v>43</v>
      </c>
      <c r="D3" s="16" t="s">
        <v>133</v>
      </c>
      <c r="E3" s="16" t="s">
        <v>201</v>
      </c>
      <c r="F3" s="14" t="s">
        <v>743</v>
      </c>
    </row>
    <row r="4" customFormat="false" ht="15" hidden="false" customHeight="false" outlineLevel="0" collapsed="false">
      <c r="A4" s="12" t="s">
        <v>141</v>
      </c>
      <c r="B4" s="13" t="s">
        <v>203</v>
      </c>
      <c r="C4" s="13" t="s">
        <v>45</v>
      </c>
      <c r="D4" s="13" t="s">
        <v>133</v>
      </c>
      <c r="E4" s="13" t="s">
        <v>138</v>
      </c>
      <c r="F4" s="14" t="s">
        <v>743</v>
      </c>
    </row>
    <row r="5" customFormat="false" ht="15" hidden="false" customHeight="false" outlineLevel="0" collapsed="false">
      <c r="A5" s="15" t="s">
        <v>207</v>
      </c>
      <c r="B5" s="16" t="s">
        <v>208</v>
      </c>
      <c r="C5" s="16" t="s">
        <v>45</v>
      </c>
      <c r="D5" s="16" t="s">
        <v>133</v>
      </c>
      <c r="E5" s="16" t="s">
        <v>142</v>
      </c>
      <c r="F5" s="14" t="s">
        <v>743</v>
      </c>
    </row>
    <row r="6" customFormat="false" ht="15" hidden="false" customHeight="false" outlineLevel="0" collapsed="false">
      <c r="A6" s="12" t="s">
        <v>210</v>
      </c>
      <c r="B6" s="13" t="s">
        <v>211</v>
      </c>
      <c r="C6" s="13" t="s">
        <v>46</v>
      </c>
      <c r="D6" s="13" t="s">
        <v>133</v>
      </c>
      <c r="E6" s="13" t="s">
        <v>132</v>
      </c>
      <c r="F6" s="14" t="s">
        <v>743</v>
      </c>
    </row>
    <row r="7" customFormat="false" ht="15" hidden="false" customHeight="false" outlineLevel="0" collapsed="false">
      <c r="A7" s="15" t="s">
        <v>214</v>
      </c>
      <c r="B7" s="16" t="s">
        <v>215</v>
      </c>
      <c r="C7" s="16" t="s">
        <v>46</v>
      </c>
      <c r="D7" s="16" t="s">
        <v>133</v>
      </c>
      <c r="E7" s="16" t="s">
        <v>212</v>
      </c>
      <c r="F7" s="19" t="s">
        <v>744</v>
      </c>
    </row>
    <row r="8" customFormat="false" ht="15" hidden="false" customHeight="false" outlineLevel="0" collapsed="false">
      <c r="A8" s="12" t="s">
        <v>219</v>
      </c>
      <c r="B8" s="13" t="s">
        <v>220</v>
      </c>
      <c r="C8" s="13" t="s">
        <v>43</v>
      </c>
      <c r="D8" s="13" t="s">
        <v>133</v>
      </c>
      <c r="E8" s="13" t="s">
        <v>76</v>
      </c>
      <c r="F8" s="14" t="s">
        <v>743</v>
      </c>
    </row>
    <row r="9" customFormat="false" ht="15" hidden="false" customHeight="false" outlineLevel="0" collapsed="false">
      <c r="A9" s="15" t="s">
        <v>222</v>
      </c>
      <c r="B9" s="16" t="s">
        <v>223</v>
      </c>
      <c r="C9" s="16" t="s">
        <v>46</v>
      </c>
      <c r="D9" s="16" t="s">
        <v>133</v>
      </c>
      <c r="E9" s="16" t="s">
        <v>745</v>
      </c>
      <c r="F9" s="14" t="s">
        <v>743</v>
      </c>
    </row>
    <row r="10" customFormat="false" ht="15" hidden="false" customHeight="false" outlineLevel="0" collapsed="false">
      <c r="A10" s="12" t="s">
        <v>226</v>
      </c>
      <c r="B10" s="13" t="s">
        <v>227</v>
      </c>
      <c r="C10" s="13" t="s">
        <v>46</v>
      </c>
      <c r="D10" s="13" t="s">
        <v>133</v>
      </c>
      <c r="E10" s="13" t="s">
        <v>132</v>
      </c>
      <c r="F10" s="14" t="s">
        <v>743</v>
      </c>
    </row>
    <row r="11" customFormat="false" ht="15" hidden="false" customHeight="false" outlineLevel="0" collapsed="false">
      <c r="A11" s="15" t="s">
        <v>229</v>
      </c>
      <c r="B11" s="16" t="s">
        <v>231</v>
      </c>
      <c r="C11" s="16" t="s">
        <v>44</v>
      </c>
      <c r="D11" s="16" t="s">
        <v>230</v>
      </c>
      <c r="E11" s="16" t="s">
        <v>65</v>
      </c>
      <c r="F11" s="14" t="s">
        <v>743</v>
      </c>
    </row>
    <row r="12" customFormat="false" ht="15" hidden="false" customHeight="false" outlineLevel="0" collapsed="false">
      <c r="A12" s="12" t="s">
        <v>233</v>
      </c>
      <c r="B12" s="13" t="s">
        <v>234</v>
      </c>
      <c r="C12" s="13" t="s">
        <v>45</v>
      </c>
      <c r="D12" s="13" t="s">
        <v>230</v>
      </c>
      <c r="E12" s="13" t="s">
        <v>65</v>
      </c>
      <c r="F12" s="14" t="s">
        <v>743</v>
      </c>
    </row>
    <row r="13" customFormat="false" ht="15" hidden="false" customHeight="false" outlineLevel="0" collapsed="false">
      <c r="A13" s="15" t="s">
        <v>236</v>
      </c>
      <c r="B13" s="16" t="s">
        <v>237</v>
      </c>
      <c r="C13" s="16" t="s">
        <v>46</v>
      </c>
      <c r="D13" s="16" t="s">
        <v>230</v>
      </c>
      <c r="E13" s="16" t="s">
        <v>65</v>
      </c>
      <c r="F13" s="14" t="s">
        <v>743</v>
      </c>
    </row>
    <row r="14" customFormat="false" ht="15" hidden="false" customHeight="false" outlineLevel="0" collapsed="false">
      <c r="A14" s="12" t="s">
        <v>239</v>
      </c>
      <c r="B14" s="13" t="s">
        <v>240</v>
      </c>
      <c r="C14" s="13" t="s">
        <v>44</v>
      </c>
      <c r="D14" s="13" t="s">
        <v>230</v>
      </c>
      <c r="E14" s="13" t="s">
        <v>65</v>
      </c>
      <c r="F14" s="14" t="s">
        <v>743</v>
      </c>
    </row>
    <row r="15" customFormat="false" ht="15" hidden="false" customHeight="false" outlineLevel="0" collapsed="false">
      <c r="A15" s="15" t="s">
        <v>242</v>
      </c>
      <c r="B15" s="16" t="s">
        <v>244</v>
      </c>
      <c r="C15" s="16" t="s">
        <v>45</v>
      </c>
      <c r="D15" s="16" t="s">
        <v>243</v>
      </c>
      <c r="E15" s="16" t="s">
        <v>53</v>
      </c>
      <c r="F15" s="14" t="s">
        <v>743</v>
      </c>
    </row>
    <row r="16" customFormat="false" ht="15" hidden="false" customHeight="false" outlineLevel="0" collapsed="false">
      <c r="A16" s="12" t="s">
        <v>246</v>
      </c>
      <c r="B16" s="13" t="s">
        <v>247</v>
      </c>
      <c r="C16" s="13" t="s">
        <v>43</v>
      </c>
      <c r="D16" s="13" t="s">
        <v>243</v>
      </c>
      <c r="E16" s="13" t="s">
        <v>248</v>
      </c>
      <c r="F16" s="14" t="s">
        <v>743</v>
      </c>
    </row>
    <row r="17" customFormat="false" ht="15" hidden="false" customHeight="false" outlineLevel="0" collapsed="false">
      <c r="A17" s="15" t="s">
        <v>250</v>
      </c>
      <c r="B17" s="16" t="s">
        <v>251</v>
      </c>
      <c r="C17" s="16" t="s">
        <v>45</v>
      </c>
      <c r="D17" s="16" t="s">
        <v>243</v>
      </c>
      <c r="E17" s="16" t="s">
        <v>248</v>
      </c>
      <c r="F17" s="14" t="s">
        <v>743</v>
      </c>
    </row>
    <row r="18" customFormat="false" ht="15" hidden="false" customHeight="false" outlineLevel="0" collapsed="false">
      <c r="A18" s="12" t="s">
        <v>253</v>
      </c>
      <c r="B18" s="13" t="s">
        <v>254</v>
      </c>
      <c r="C18" s="13" t="s">
        <v>46</v>
      </c>
      <c r="D18" s="13" t="s">
        <v>243</v>
      </c>
      <c r="E18" s="13" t="s">
        <v>53</v>
      </c>
      <c r="F18" s="14" t="s">
        <v>743</v>
      </c>
    </row>
    <row r="19" customFormat="false" ht="15" hidden="false" customHeight="false" outlineLevel="0" collapsed="false">
      <c r="A19" s="15" t="s">
        <v>256</v>
      </c>
      <c r="B19" s="16" t="s">
        <v>257</v>
      </c>
      <c r="C19" s="16" t="s">
        <v>46</v>
      </c>
      <c r="D19" s="16" t="s">
        <v>243</v>
      </c>
      <c r="E19" s="16" t="s">
        <v>248</v>
      </c>
      <c r="F19" s="14" t="s">
        <v>743</v>
      </c>
    </row>
    <row r="20" customFormat="false" ht="15" hidden="false" customHeight="false" outlineLevel="0" collapsed="false">
      <c r="A20" s="12" t="s">
        <v>259</v>
      </c>
      <c r="B20" s="13" t="s">
        <v>260</v>
      </c>
      <c r="C20" s="13" t="s">
        <v>46</v>
      </c>
      <c r="D20" s="13" t="s">
        <v>243</v>
      </c>
      <c r="E20" s="13" t="s">
        <v>248</v>
      </c>
      <c r="F20" s="14" t="s">
        <v>743</v>
      </c>
    </row>
    <row r="21" customFormat="false" ht="15" hidden="false" customHeight="false" outlineLevel="0" collapsed="false">
      <c r="A21" s="15" t="s">
        <v>262</v>
      </c>
      <c r="B21" s="16" t="s">
        <v>263</v>
      </c>
      <c r="C21" s="16" t="s">
        <v>46</v>
      </c>
      <c r="D21" s="16" t="s">
        <v>243</v>
      </c>
      <c r="E21" s="16" t="s">
        <v>248</v>
      </c>
      <c r="F21" s="14" t="s">
        <v>743</v>
      </c>
    </row>
    <row r="22" customFormat="false" ht="15" hidden="false" customHeight="false" outlineLevel="0" collapsed="false">
      <c r="A22" s="12" t="s">
        <v>266</v>
      </c>
      <c r="B22" s="13" t="s">
        <v>268</v>
      </c>
      <c r="C22" s="13" t="s">
        <v>43</v>
      </c>
      <c r="D22" s="13" t="s">
        <v>267</v>
      </c>
      <c r="E22" s="13" t="s">
        <v>269</v>
      </c>
      <c r="F22" s="14" t="s">
        <v>743</v>
      </c>
    </row>
    <row r="23" customFormat="false" ht="15" hidden="false" customHeight="false" outlineLevel="0" collapsed="false">
      <c r="A23" s="15" t="s">
        <v>271</v>
      </c>
      <c r="B23" s="16" t="s">
        <v>272</v>
      </c>
      <c r="C23" s="16" t="s">
        <v>43</v>
      </c>
      <c r="D23" s="16" t="s">
        <v>267</v>
      </c>
      <c r="E23" s="16" t="s">
        <v>269</v>
      </c>
      <c r="F23" s="14" t="s">
        <v>743</v>
      </c>
    </row>
    <row r="24" customFormat="false" ht="15" hidden="false" customHeight="false" outlineLevel="0" collapsed="false">
      <c r="A24" s="12" t="s">
        <v>274</v>
      </c>
      <c r="B24" s="13" t="s">
        <v>275</v>
      </c>
      <c r="C24" s="13" t="s">
        <v>43</v>
      </c>
      <c r="D24" s="13" t="s">
        <v>267</v>
      </c>
      <c r="E24" s="13" t="s">
        <v>76</v>
      </c>
      <c r="F24" s="14" t="s">
        <v>743</v>
      </c>
    </row>
    <row r="25" customFormat="false" ht="23.85" hidden="false" customHeight="false" outlineLevel="0" collapsed="false">
      <c r="A25" s="15" t="s">
        <v>277</v>
      </c>
      <c r="B25" s="16" t="s">
        <v>278</v>
      </c>
      <c r="C25" s="16" t="s">
        <v>44</v>
      </c>
      <c r="D25" s="16" t="s">
        <v>267</v>
      </c>
      <c r="E25" s="16" t="s">
        <v>70</v>
      </c>
      <c r="F25" s="14" t="s">
        <v>743</v>
      </c>
    </row>
    <row r="26" customFormat="false" ht="15" hidden="false" customHeight="false" outlineLevel="0" collapsed="false">
      <c r="A26" s="12" t="s">
        <v>280</v>
      </c>
      <c r="B26" s="13" t="s">
        <v>281</v>
      </c>
      <c r="C26" s="13" t="s">
        <v>43</v>
      </c>
      <c r="D26" s="13" t="s">
        <v>267</v>
      </c>
      <c r="E26" s="13" t="s">
        <v>269</v>
      </c>
      <c r="F26" s="14" t="s">
        <v>743</v>
      </c>
    </row>
    <row r="27" customFormat="false" ht="15" hidden="false" customHeight="false" outlineLevel="0" collapsed="false">
      <c r="A27" s="15" t="s">
        <v>284</v>
      </c>
      <c r="B27" s="16" t="s">
        <v>285</v>
      </c>
      <c r="C27" s="16" t="s">
        <v>45</v>
      </c>
      <c r="D27" s="16" t="s">
        <v>267</v>
      </c>
      <c r="E27" s="16" t="s">
        <v>70</v>
      </c>
      <c r="F27" s="14" t="s">
        <v>743</v>
      </c>
    </row>
    <row r="28" customFormat="false" ht="15" hidden="false" customHeight="false" outlineLevel="0" collapsed="false">
      <c r="A28" s="12" t="s">
        <v>287</v>
      </c>
      <c r="B28" s="13" t="s">
        <v>288</v>
      </c>
      <c r="C28" s="13" t="s">
        <v>45</v>
      </c>
      <c r="D28" s="13" t="s">
        <v>267</v>
      </c>
      <c r="E28" s="13" t="s">
        <v>70</v>
      </c>
      <c r="F28" s="14" t="s">
        <v>743</v>
      </c>
    </row>
    <row r="29" customFormat="false" ht="15" hidden="false" customHeight="false" outlineLevel="0" collapsed="false">
      <c r="A29" s="15" t="s">
        <v>291</v>
      </c>
      <c r="B29" s="16" t="s">
        <v>292</v>
      </c>
      <c r="C29" s="16" t="s">
        <v>45</v>
      </c>
      <c r="D29" s="16" t="s">
        <v>267</v>
      </c>
      <c r="E29" s="16" t="s">
        <v>70</v>
      </c>
      <c r="F29" s="14" t="s">
        <v>743</v>
      </c>
    </row>
    <row r="30" customFormat="false" ht="23.85" hidden="false" customHeight="false" outlineLevel="0" collapsed="false">
      <c r="A30" s="12" t="s">
        <v>294</v>
      </c>
      <c r="B30" s="13" t="s">
        <v>295</v>
      </c>
      <c r="C30" s="13" t="s">
        <v>45</v>
      </c>
      <c r="D30" s="13" t="s">
        <v>267</v>
      </c>
      <c r="E30" s="13" t="s">
        <v>70</v>
      </c>
      <c r="F30" s="14" t="s">
        <v>743</v>
      </c>
    </row>
    <row r="31" customFormat="false" ht="15" hidden="false" customHeight="false" outlineLevel="0" collapsed="false">
      <c r="A31" s="15" t="s">
        <v>297</v>
      </c>
      <c r="B31" s="16" t="s">
        <v>299</v>
      </c>
      <c r="C31" s="16" t="s">
        <v>45</v>
      </c>
      <c r="D31" s="16" t="s">
        <v>298</v>
      </c>
      <c r="E31" s="16" t="s">
        <v>212</v>
      </c>
      <c r="F31" s="19" t="s">
        <v>744</v>
      </c>
    </row>
    <row r="32" customFormat="false" ht="15" hidden="false" customHeight="false" outlineLevel="0" collapsed="false">
      <c r="A32" s="12" t="s">
        <v>301</v>
      </c>
      <c r="B32" s="13" t="s">
        <v>302</v>
      </c>
      <c r="C32" s="13" t="s">
        <v>44</v>
      </c>
      <c r="D32" s="13" t="s">
        <v>298</v>
      </c>
      <c r="E32" s="13" t="s">
        <v>95</v>
      </c>
      <c r="F32" s="14" t="s">
        <v>743</v>
      </c>
    </row>
    <row r="33" customFormat="false" ht="15" hidden="false" customHeight="false" outlineLevel="0" collapsed="false">
      <c r="A33" s="15" t="s">
        <v>304</v>
      </c>
      <c r="B33" s="16" t="s">
        <v>305</v>
      </c>
      <c r="C33" s="16" t="s">
        <v>43</v>
      </c>
      <c r="D33" s="16" t="s">
        <v>298</v>
      </c>
      <c r="E33" s="16" t="s">
        <v>95</v>
      </c>
      <c r="F33" s="14" t="s">
        <v>743</v>
      </c>
    </row>
    <row r="34" customFormat="false" ht="15" hidden="false" customHeight="false" outlineLevel="0" collapsed="false">
      <c r="A34" s="12" t="s">
        <v>307</v>
      </c>
      <c r="B34" s="13" t="s">
        <v>308</v>
      </c>
      <c r="C34" s="13" t="s">
        <v>43</v>
      </c>
      <c r="D34" s="13" t="s">
        <v>298</v>
      </c>
      <c r="E34" s="13" t="s">
        <v>309</v>
      </c>
      <c r="F34" s="14" t="s">
        <v>743</v>
      </c>
    </row>
    <row r="35" customFormat="false" ht="15" hidden="false" customHeight="false" outlineLevel="0" collapsed="false">
      <c r="A35" s="15" t="s">
        <v>311</v>
      </c>
      <c r="B35" s="16" t="s">
        <v>312</v>
      </c>
      <c r="C35" s="16" t="s">
        <v>46</v>
      </c>
      <c r="D35" s="16" t="s">
        <v>298</v>
      </c>
      <c r="E35" s="16" t="s">
        <v>95</v>
      </c>
      <c r="F35" s="14" t="s">
        <v>743</v>
      </c>
    </row>
    <row r="36" customFormat="false" ht="15" hidden="false" customHeight="false" outlineLevel="0" collapsed="false">
      <c r="A36" s="12" t="s">
        <v>314</v>
      </c>
      <c r="B36" s="13" t="s">
        <v>315</v>
      </c>
      <c r="C36" s="13" t="s">
        <v>45</v>
      </c>
      <c r="D36" s="13" t="s">
        <v>298</v>
      </c>
      <c r="E36" s="13" t="s">
        <v>95</v>
      </c>
      <c r="F36" s="14" t="s">
        <v>743</v>
      </c>
    </row>
    <row r="37" customFormat="false" ht="15" hidden="false" customHeight="false" outlineLevel="0" collapsed="false">
      <c r="A37" s="15" t="s">
        <v>317</v>
      </c>
      <c r="B37" s="16" t="s">
        <v>319</v>
      </c>
      <c r="C37" s="16" t="s">
        <v>44</v>
      </c>
      <c r="D37" s="16" t="s">
        <v>318</v>
      </c>
      <c r="E37" s="16" t="s">
        <v>746</v>
      </c>
      <c r="F37" s="14" t="s">
        <v>743</v>
      </c>
    </row>
    <row r="38" customFormat="false" ht="15" hidden="false" customHeight="false" outlineLevel="0" collapsed="false">
      <c r="A38" s="12" t="s">
        <v>321</v>
      </c>
      <c r="B38" s="13" t="s">
        <v>322</v>
      </c>
      <c r="C38" s="13" t="s">
        <v>46</v>
      </c>
      <c r="D38" s="13" t="s">
        <v>318</v>
      </c>
      <c r="E38" s="13" t="s">
        <v>81</v>
      </c>
      <c r="F38" s="14" t="s">
        <v>743</v>
      </c>
    </row>
    <row r="39" customFormat="false" ht="15" hidden="false" customHeight="false" outlineLevel="0" collapsed="false">
      <c r="A39" s="15" t="s">
        <v>324</v>
      </c>
      <c r="B39" s="16" t="s">
        <v>326</v>
      </c>
      <c r="C39" s="16" t="s">
        <v>44</v>
      </c>
      <c r="D39" s="16" t="s">
        <v>325</v>
      </c>
      <c r="E39" s="16" t="s">
        <v>86</v>
      </c>
      <c r="F39" s="14" t="s">
        <v>743</v>
      </c>
    </row>
    <row r="40" customFormat="false" ht="15" hidden="false" customHeight="false" outlineLevel="0" collapsed="false">
      <c r="A40" s="12" t="s">
        <v>328</v>
      </c>
      <c r="B40" s="13" t="s">
        <v>329</v>
      </c>
      <c r="C40" s="13" t="s">
        <v>43</v>
      </c>
      <c r="D40" s="13" t="s">
        <v>325</v>
      </c>
      <c r="E40" s="13" t="s">
        <v>330</v>
      </c>
      <c r="F40" s="14" t="s">
        <v>743</v>
      </c>
    </row>
    <row r="41" customFormat="false" ht="15" hidden="false" customHeight="false" outlineLevel="0" collapsed="false">
      <c r="A41" s="15" t="s">
        <v>332</v>
      </c>
      <c r="B41" s="16" t="s">
        <v>333</v>
      </c>
      <c r="C41" s="16" t="s">
        <v>44</v>
      </c>
      <c r="D41" s="16" t="s">
        <v>325</v>
      </c>
      <c r="E41" s="16" t="s">
        <v>330</v>
      </c>
      <c r="F41" s="14" t="s">
        <v>743</v>
      </c>
    </row>
    <row r="42" customFormat="false" ht="15" hidden="false" customHeight="false" outlineLevel="0" collapsed="false">
      <c r="A42" s="12" t="s">
        <v>335</v>
      </c>
      <c r="B42" s="13" t="s">
        <v>336</v>
      </c>
      <c r="C42" s="13" t="s">
        <v>45</v>
      </c>
      <c r="D42" s="13" t="s">
        <v>325</v>
      </c>
      <c r="E42" s="13" t="s">
        <v>86</v>
      </c>
      <c r="F42" s="14" t="s">
        <v>743</v>
      </c>
    </row>
    <row r="43" customFormat="false" ht="15" hidden="false" customHeight="false" outlineLevel="0" collapsed="false">
      <c r="A43" s="15" t="s">
        <v>338</v>
      </c>
      <c r="B43" s="16" t="s">
        <v>339</v>
      </c>
      <c r="C43" s="16" t="s">
        <v>45</v>
      </c>
      <c r="D43" s="16" t="s">
        <v>325</v>
      </c>
      <c r="E43" s="16" t="s">
        <v>86</v>
      </c>
      <c r="F43" s="14" t="s">
        <v>743</v>
      </c>
    </row>
    <row r="44" customFormat="false" ht="15" hidden="false" customHeight="false" outlineLevel="0" collapsed="false">
      <c r="A44" s="12" t="s">
        <v>342</v>
      </c>
      <c r="B44" s="13" t="s">
        <v>344</v>
      </c>
      <c r="C44" s="13" t="s">
        <v>44</v>
      </c>
      <c r="D44" s="13" t="s">
        <v>343</v>
      </c>
      <c r="E44" s="13" t="s">
        <v>747</v>
      </c>
      <c r="F44" s="14" t="s">
        <v>743</v>
      </c>
    </row>
    <row r="45" customFormat="false" ht="15" hidden="false" customHeight="false" outlineLevel="0" collapsed="false">
      <c r="A45" s="15" t="s">
        <v>346</v>
      </c>
      <c r="B45" s="16" t="s">
        <v>347</v>
      </c>
      <c r="C45" s="16" t="s">
        <v>45</v>
      </c>
      <c r="D45" s="16" t="s">
        <v>343</v>
      </c>
      <c r="E45" s="16" t="s">
        <v>91</v>
      </c>
      <c r="F45" s="14" t="s">
        <v>743</v>
      </c>
    </row>
    <row r="46" customFormat="false" ht="15" hidden="false" customHeight="false" outlineLevel="0" collapsed="false">
      <c r="A46" s="12" t="s">
        <v>349</v>
      </c>
      <c r="B46" s="13" t="s">
        <v>350</v>
      </c>
      <c r="C46" s="13" t="s">
        <v>46</v>
      </c>
      <c r="D46" s="13" t="s">
        <v>343</v>
      </c>
      <c r="E46" s="13" t="s">
        <v>91</v>
      </c>
      <c r="F46" s="14" t="s">
        <v>743</v>
      </c>
    </row>
    <row r="47" customFormat="false" ht="15" hidden="false" customHeight="false" outlineLevel="0" collapsed="false">
      <c r="A47" s="15" t="s">
        <v>352</v>
      </c>
      <c r="B47" s="16" t="s">
        <v>353</v>
      </c>
      <c r="C47" s="16" t="s">
        <v>46</v>
      </c>
      <c r="D47" s="16" t="s">
        <v>343</v>
      </c>
      <c r="E47" s="16" t="s">
        <v>91</v>
      </c>
      <c r="F47" s="14" t="s">
        <v>743</v>
      </c>
    </row>
    <row r="48" customFormat="false" ht="15" hidden="false" customHeight="false" outlineLevel="0" collapsed="false">
      <c r="A48" s="12" t="s">
        <v>355</v>
      </c>
      <c r="B48" s="13" t="s">
        <v>356</v>
      </c>
      <c r="C48" s="13" t="s">
        <v>46</v>
      </c>
      <c r="D48" s="13" t="s">
        <v>343</v>
      </c>
      <c r="E48" s="13" t="s">
        <v>91</v>
      </c>
      <c r="F48" s="14" t="s">
        <v>743</v>
      </c>
    </row>
    <row r="49" customFormat="false" ht="15" hidden="false" customHeight="false" outlineLevel="0" collapsed="false">
      <c r="A49" s="15" t="s">
        <v>358</v>
      </c>
      <c r="B49" s="16" t="s">
        <v>359</v>
      </c>
      <c r="C49" s="16" t="s">
        <v>46</v>
      </c>
      <c r="D49" s="16" t="s">
        <v>343</v>
      </c>
      <c r="E49" s="16" t="s">
        <v>91</v>
      </c>
      <c r="F49" s="14" t="s">
        <v>743</v>
      </c>
    </row>
    <row r="50" customFormat="false" ht="15" hidden="false" customHeight="false" outlineLevel="0" collapsed="false">
      <c r="A50" s="12" t="s">
        <v>361</v>
      </c>
      <c r="B50" s="13" t="s">
        <v>362</v>
      </c>
      <c r="C50" s="13" t="s">
        <v>44</v>
      </c>
      <c r="D50" s="13" t="s">
        <v>343</v>
      </c>
      <c r="E50" s="13" t="s">
        <v>91</v>
      </c>
      <c r="F50" s="14" t="s">
        <v>743</v>
      </c>
    </row>
    <row r="51" customFormat="false" ht="15" hidden="false" customHeight="false" outlineLevel="0" collapsed="false">
      <c r="A51" s="15" t="s">
        <v>364</v>
      </c>
      <c r="B51" s="16" t="s">
        <v>365</v>
      </c>
      <c r="C51" s="16" t="s">
        <v>45</v>
      </c>
      <c r="D51" s="16" t="s">
        <v>343</v>
      </c>
      <c r="E51" s="16" t="s">
        <v>91</v>
      </c>
      <c r="F51" s="14" t="s">
        <v>743</v>
      </c>
    </row>
    <row r="52" customFormat="false" ht="15" hidden="false" customHeight="false" outlineLevel="0" collapsed="false">
      <c r="A52" s="12" t="s">
        <v>367</v>
      </c>
      <c r="B52" s="13" t="s">
        <v>368</v>
      </c>
      <c r="C52" s="13" t="s">
        <v>46</v>
      </c>
      <c r="D52" s="13" t="s">
        <v>343</v>
      </c>
      <c r="E52" s="13" t="s">
        <v>369</v>
      </c>
      <c r="F52" s="14" t="s">
        <v>743</v>
      </c>
    </row>
    <row r="53" customFormat="false" ht="23.85" hidden="false" customHeight="false" outlineLevel="0" collapsed="false">
      <c r="A53" s="15" t="s">
        <v>371</v>
      </c>
      <c r="B53" s="16" t="s">
        <v>372</v>
      </c>
      <c r="C53" s="16" t="s">
        <v>45</v>
      </c>
      <c r="D53" s="16" t="s">
        <v>343</v>
      </c>
      <c r="E53" s="16" t="s">
        <v>748</v>
      </c>
      <c r="F53" s="14" t="s">
        <v>743</v>
      </c>
    </row>
    <row r="54" customFormat="false" ht="15" hidden="false" customHeight="false" outlineLevel="0" collapsed="false">
      <c r="A54" s="12" t="s">
        <v>375</v>
      </c>
      <c r="B54" s="13" t="s">
        <v>377</v>
      </c>
      <c r="C54" s="13" t="s">
        <v>43</v>
      </c>
      <c r="D54" s="13" t="s">
        <v>376</v>
      </c>
      <c r="E54" s="13" t="s">
        <v>309</v>
      </c>
      <c r="F54" s="14" t="s">
        <v>743</v>
      </c>
    </row>
    <row r="55" customFormat="false" ht="15" hidden="false" customHeight="false" outlineLevel="0" collapsed="false">
      <c r="A55" s="15" t="s">
        <v>379</v>
      </c>
      <c r="B55" s="16" t="s">
        <v>380</v>
      </c>
      <c r="C55" s="16" t="s">
        <v>43</v>
      </c>
      <c r="D55" s="16" t="s">
        <v>376</v>
      </c>
      <c r="E55" s="16" t="s">
        <v>309</v>
      </c>
      <c r="F55" s="14" t="s">
        <v>743</v>
      </c>
    </row>
    <row r="56" customFormat="false" ht="15" hidden="false" customHeight="false" outlineLevel="0" collapsed="false">
      <c r="A56" s="12" t="s">
        <v>382</v>
      </c>
      <c r="B56" s="13" t="s">
        <v>383</v>
      </c>
      <c r="C56" s="13" t="s">
        <v>43</v>
      </c>
      <c r="D56" s="13" t="s">
        <v>376</v>
      </c>
      <c r="E56" s="13" t="s">
        <v>95</v>
      </c>
      <c r="F56" s="14" t="s">
        <v>743</v>
      </c>
    </row>
    <row r="57" customFormat="false" ht="15" hidden="false" customHeight="false" outlineLevel="0" collapsed="false">
      <c r="A57" s="15" t="s">
        <v>385</v>
      </c>
      <c r="B57" s="16" t="s">
        <v>386</v>
      </c>
      <c r="C57" s="16" t="s">
        <v>43</v>
      </c>
      <c r="D57" s="16" t="s">
        <v>376</v>
      </c>
      <c r="E57" s="16" t="s">
        <v>309</v>
      </c>
      <c r="F57" s="14" t="s">
        <v>743</v>
      </c>
    </row>
    <row r="58" customFormat="false" ht="15" hidden="false" customHeight="false" outlineLevel="0" collapsed="false">
      <c r="A58" s="12" t="s">
        <v>388</v>
      </c>
      <c r="B58" s="13" t="s">
        <v>389</v>
      </c>
      <c r="C58" s="13" t="s">
        <v>43</v>
      </c>
      <c r="D58" s="13" t="s">
        <v>376</v>
      </c>
      <c r="E58" s="13" t="s">
        <v>95</v>
      </c>
      <c r="F58" s="14" t="s">
        <v>743</v>
      </c>
    </row>
    <row r="59" customFormat="false" ht="15" hidden="false" customHeight="false" outlineLevel="0" collapsed="false">
      <c r="A59" s="15" t="s">
        <v>391</v>
      </c>
      <c r="B59" s="16" t="s">
        <v>392</v>
      </c>
      <c r="C59" s="16" t="s">
        <v>44</v>
      </c>
      <c r="D59" s="16" t="s">
        <v>376</v>
      </c>
      <c r="E59" s="16" t="s">
        <v>100</v>
      </c>
      <c r="F59" s="14" t="s">
        <v>743</v>
      </c>
    </row>
    <row r="60" customFormat="false" ht="15" hidden="false" customHeight="false" outlineLevel="0" collapsed="false">
      <c r="A60" s="12" t="s">
        <v>394</v>
      </c>
      <c r="B60" s="13" t="s">
        <v>395</v>
      </c>
      <c r="C60" s="13" t="s">
        <v>43</v>
      </c>
      <c r="D60" s="13" t="s">
        <v>376</v>
      </c>
      <c r="E60" s="13" t="s">
        <v>95</v>
      </c>
      <c r="F60" s="14" t="s">
        <v>743</v>
      </c>
    </row>
    <row r="61" customFormat="false" ht="15" hidden="false" customHeight="false" outlineLevel="0" collapsed="false">
      <c r="A61" s="15" t="s">
        <v>398</v>
      </c>
      <c r="B61" s="16" t="s">
        <v>399</v>
      </c>
      <c r="C61" s="16" t="s">
        <v>44</v>
      </c>
      <c r="D61" s="16" t="s">
        <v>376</v>
      </c>
      <c r="E61" s="16" t="s">
        <v>95</v>
      </c>
      <c r="F61" s="14" t="s">
        <v>743</v>
      </c>
    </row>
    <row r="62" customFormat="false" ht="15" hidden="false" customHeight="false" outlineLevel="0" collapsed="false">
      <c r="A62" s="12" t="s">
        <v>401</v>
      </c>
      <c r="B62" s="13" t="s">
        <v>402</v>
      </c>
      <c r="C62" s="13" t="s">
        <v>45</v>
      </c>
      <c r="D62" s="13" t="s">
        <v>376</v>
      </c>
      <c r="E62" s="13" t="s">
        <v>95</v>
      </c>
      <c r="F62" s="14" t="s">
        <v>743</v>
      </c>
    </row>
    <row r="63" customFormat="false" ht="15" hidden="false" customHeight="false" outlineLevel="0" collapsed="false">
      <c r="A63" s="15" t="s">
        <v>405</v>
      </c>
      <c r="B63" s="16" t="s">
        <v>406</v>
      </c>
      <c r="C63" s="16" t="s">
        <v>45</v>
      </c>
      <c r="D63" s="16" t="s">
        <v>376</v>
      </c>
      <c r="E63" s="16" t="s">
        <v>100</v>
      </c>
      <c r="F63" s="14" t="s">
        <v>743</v>
      </c>
    </row>
    <row r="64" customFormat="false" ht="15" hidden="false" customHeight="false" outlineLevel="0" collapsed="false">
      <c r="A64" s="12" t="s">
        <v>409</v>
      </c>
      <c r="B64" s="13" t="s">
        <v>410</v>
      </c>
      <c r="C64" s="13" t="s">
        <v>44</v>
      </c>
      <c r="D64" s="13" t="s">
        <v>376</v>
      </c>
      <c r="E64" s="13" t="s">
        <v>100</v>
      </c>
      <c r="F64" s="14" t="s">
        <v>743</v>
      </c>
    </row>
    <row r="65" customFormat="false" ht="15" hidden="false" customHeight="false" outlineLevel="0" collapsed="false">
      <c r="A65" s="15" t="s">
        <v>412</v>
      </c>
      <c r="B65" s="16" t="s">
        <v>413</v>
      </c>
      <c r="C65" s="16" t="s">
        <v>45</v>
      </c>
      <c r="D65" s="16" t="s">
        <v>376</v>
      </c>
      <c r="E65" s="16" t="s">
        <v>414</v>
      </c>
      <c r="F65" s="14" t="s">
        <v>743</v>
      </c>
    </row>
    <row r="66" customFormat="false" ht="15" hidden="false" customHeight="false" outlineLevel="0" collapsed="false">
      <c r="A66" s="12" t="s">
        <v>416</v>
      </c>
      <c r="B66" s="13" t="s">
        <v>417</v>
      </c>
      <c r="C66" s="13" t="s">
        <v>45</v>
      </c>
      <c r="D66" s="13" t="s">
        <v>376</v>
      </c>
      <c r="E66" s="13" t="s">
        <v>95</v>
      </c>
      <c r="F66" s="14" t="s">
        <v>743</v>
      </c>
    </row>
    <row r="67" customFormat="false" ht="15" hidden="false" customHeight="false" outlineLevel="0" collapsed="false">
      <c r="A67" s="15" t="s">
        <v>419</v>
      </c>
      <c r="B67" s="16" t="s">
        <v>420</v>
      </c>
      <c r="C67" s="16" t="s">
        <v>45</v>
      </c>
      <c r="D67" s="16" t="s">
        <v>376</v>
      </c>
      <c r="E67" s="16" t="s">
        <v>95</v>
      </c>
      <c r="F67" s="14" t="s">
        <v>743</v>
      </c>
    </row>
    <row r="68" customFormat="false" ht="15" hidden="false" customHeight="false" outlineLevel="0" collapsed="false">
      <c r="A68" s="12" t="s">
        <v>423</v>
      </c>
      <c r="B68" s="13" t="s">
        <v>424</v>
      </c>
      <c r="C68" s="13" t="s">
        <v>45</v>
      </c>
      <c r="D68" s="13" t="s">
        <v>376</v>
      </c>
      <c r="E68" s="13" t="s">
        <v>749</v>
      </c>
      <c r="F68" s="14" t="s">
        <v>743</v>
      </c>
    </row>
    <row r="69" customFormat="false" ht="23.85" hidden="false" customHeight="false" outlineLevel="0" collapsed="false">
      <c r="A69" s="15" t="s">
        <v>426</v>
      </c>
      <c r="B69" s="16" t="s">
        <v>427</v>
      </c>
      <c r="C69" s="16" t="s">
        <v>44</v>
      </c>
      <c r="D69" s="16" t="s">
        <v>376</v>
      </c>
      <c r="E69" s="16" t="s">
        <v>309</v>
      </c>
      <c r="F69" s="14" t="s">
        <v>743</v>
      </c>
    </row>
    <row r="70" customFormat="false" ht="15" hidden="false" customHeight="false" outlineLevel="0" collapsed="false">
      <c r="A70" s="12" t="s">
        <v>430</v>
      </c>
      <c r="B70" s="13" t="s">
        <v>431</v>
      </c>
      <c r="C70" s="13" t="s">
        <v>44</v>
      </c>
      <c r="D70" s="13" t="s">
        <v>376</v>
      </c>
      <c r="E70" s="13" t="s">
        <v>309</v>
      </c>
      <c r="F70" s="14" t="s">
        <v>743</v>
      </c>
    </row>
    <row r="71" customFormat="false" ht="15" hidden="false" customHeight="false" outlineLevel="0" collapsed="false">
      <c r="A71" s="15" t="s">
        <v>433</v>
      </c>
      <c r="B71" s="16" t="s">
        <v>435</v>
      </c>
      <c r="C71" s="16" t="s">
        <v>46</v>
      </c>
      <c r="D71" s="16" t="s">
        <v>434</v>
      </c>
      <c r="E71" s="16" t="s">
        <v>121</v>
      </c>
      <c r="F71" s="14" t="s">
        <v>743</v>
      </c>
    </row>
    <row r="72" customFormat="false" ht="15" hidden="false" customHeight="false" outlineLevel="0" collapsed="false">
      <c r="A72" s="12" t="s">
        <v>437</v>
      </c>
      <c r="B72" s="13" t="s">
        <v>438</v>
      </c>
      <c r="C72" s="13" t="s">
        <v>44</v>
      </c>
      <c r="D72" s="13" t="s">
        <v>434</v>
      </c>
      <c r="E72" s="13" t="s">
        <v>750</v>
      </c>
      <c r="F72" s="14" t="s">
        <v>743</v>
      </c>
    </row>
    <row r="73" customFormat="false" ht="15" hidden="false" customHeight="false" outlineLevel="0" collapsed="false">
      <c r="A73" s="15" t="s">
        <v>440</v>
      </c>
      <c r="B73" s="16" t="s">
        <v>441</v>
      </c>
      <c r="C73" s="16" t="s">
        <v>44</v>
      </c>
      <c r="D73" s="16" t="s">
        <v>434</v>
      </c>
      <c r="E73" s="16" t="s">
        <v>121</v>
      </c>
      <c r="F73" s="14" t="s">
        <v>743</v>
      </c>
    </row>
    <row r="74" customFormat="false" ht="15" hidden="false" customHeight="false" outlineLevel="0" collapsed="false">
      <c r="A74" s="12" t="s">
        <v>444</v>
      </c>
      <c r="B74" s="13" t="s">
        <v>445</v>
      </c>
      <c r="C74" s="13" t="s">
        <v>45</v>
      </c>
      <c r="D74" s="13" t="s">
        <v>434</v>
      </c>
      <c r="E74" s="13" t="s">
        <v>121</v>
      </c>
      <c r="F74" s="14" t="s">
        <v>743</v>
      </c>
    </row>
    <row r="75" customFormat="false" ht="15" hidden="false" customHeight="false" outlineLevel="0" collapsed="false">
      <c r="A75" s="15" t="s">
        <v>447</v>
      </c>
      <c r="B75" s="16" t="s">
        <v>448</v>
      </c>
      <c r="C75" s="16" t="s">
        <v>44</v>
      </c>
      <c r="D75" s="16" t="s">
        <v>434</v>
      </c>
      <c r="E75" s="16" t="s">
        <v>121</v>
      </c>
      <c r="F75" s="14" t="s">
        <v>743</v>
      </c>
    </row>
    <row r="76" customFormat="false" ht="15" hidden="false" customHeight="false" outlineLevel="0" collapsed="false">
      <c r="A76" s="12" t="s">
        <v>451</v>
      </c>
      <c r="B76" s="13" t="s">
        <v>452</v>
      </c>
      <c r="C76" s="13" t="s">
        <v>45</v>
      </c>
      <c r="D76" s="13" t="s">
        <v>434</v>
      </c>
      <c r="E76" s="13" t="s">
        <v>121</v>
      </c>
      <c r="F76" s="14" t="s">
        <v>743</v>
      </c>
    </row>
    <row r="77" customFormat="false" ht="15" hidden="false" customHeight="false" outlineLevel="0" collapsed="false">
      <c r="A77" s="15" t="s">
        <v>455</v>
      </c>
      <c r="B77" s="16" t="s">
        <v>456</v>
      </c>
      <c r="C77" s="16" t="s">
        <v>45</v>
      </c>
      <c r="D77" s="16" t="s">
        <v>434</v>
      </c>
      <c r="E77" s="16" t="s">
        <v>121</v>
      </c>
      <c r="F77" s="14" t="s">
        <v>743</v>
      </c>
    </row>
    <row r="78" customFormat="false" ht="15" hidden="false" customHeight="false" outlineLevel="0" collapsed="false">
      <c r="A78" s="12" t="s">
        <v>458</v>
      </c>
      <c r="B78" s="13" t="s">
        <v>459</v>
      </c>
      <c r="C78" s="13" t="s">
        <v>46</v>
      </c>
      <c r="D78" s="13" t="s">
        <v>434</v>
      </c>
      <c r="E78" s="13" t="s">
        <v>121</v>
      </c>
      <c r="F78" s="14" t="s">
        <v>743</v>
      </c>
    </row>
    <row r="79" customFormat="false" ht="15" hidden="false" customHeight="false" outlineLevel="0" collapsed="false">
      <c r="A79" s="15" t="s">
        <v>462</v>
      </c>
      <c r="B79" s="16" t="s">
        <v>464</v>
      </c>
      <c r="C79" s="16" t="s">
        <v>44</v>
      </c>
      <c r="D79" s="16" t="s">
        <v>463</v>
      </c>
      <c r="E79" s="16" t="s">
        <v>105</v>
      </c>
      <c r="F79" s="14" t="s">
        <v>743</v>
      </c>
    </row>
    <row r="80" customFormat="false" ht="15" hidden="false" customHeight="false" outlineLevel="0" collapsed="false">
      <c r="A80" s="12" t="s">
        <v>466</v>
      </c>
      <c r="B80" s="13" t="s">
        <v>467</v>
      </c>
      <c r="C80" s="13" t="s">
        <v>43</v>
      </c>
      <c r="D80" s="13" t="s">
        <v>463</v>
      </c>
      <c r="E80" s="13" t="s">
        <v>751</v>
      </c>
      <c r="F80" s="14" t="s">
        <v>743</v>
      </c>
    </row>
    <row r="81" customFormat="false" ht="15" hidden="false" customHeight="false" outlineLevel="0" collapsed="false">
      <c r="A81" s="15" t="s">
        <v>470</v>
      </c>
      <c r="B81" s="16" t="s">
        <v>471</v>
      </c>
      <c r="C81" s="16" t="s">
        <v>44</v>
      </c>
      <c r="D81" s="16" t="s">
        <v>463</v>
      </c>
      <c r="E81" s="16" t="s">
        <v>105</v>
      </c>
      <c r="F81" s="14" t="s">
        <v>743</v>
      </c>
    </row>
    <row r="82" customFormat="false" ht="15" hidden="false" customHeight="false" outlineLevel="0" collapsed="false">
      <c r="A82" s="12" t="s">
        <v>474</v>
      </c>
      <c r="B82" s="13" t="s">
        <v>475</v>
      </c>
      <c r="C82" s="13" t="s">
        <v>44</v>
      </c>
      <c r="D82" s="13" t="s">
        <v>463</v>
      </c>
      <c r="E82" s="13" t="s">
        <v>105</v>
      </c>
      <c r="F82" s="14" t="s">
        <v>743</v>
      </c>
    </row>
    <row r="83" customFormat="false" ht="15" hidden="false" customHeight="false" outlineLevel="0" collapsed="false">
      <c r="A83" s="15" t="s">
        <v>477</v>
      </c>
      <c r="B83" s="16" t="s">
        <v>478</v>
      </c>
      <c r="C83" s="16" t="s">
        <v>44</v>
      </c>
      <c r="D83" s="16" t="s">
        <v>463</v>
      </c>
      <c r="E83" s="16" t="s">
        <v>105</v>
      </c>
      <c r="F83" s="14" t="s">
        <v>743</v>
      </c>
    </row>
    <row r="84" customFormat="false" ht="15" hidden="false" customHeight="false" outlineLevel="0" collapsed="false">
      <c r="A84" s="12" t="s">
        <v>480</v>
      </c>
      <c r="B84" s="13" t="s">
        <v>481</v>
      </c>
      <c r="C84" s="13" t="s">
        <v>44</v>
      </c>
      <c r="D84" s="13" t="s">
        <v>463</v>
      </c>
      <c r="E84" s="13" t="s">
        <v>105</v>
      </c>
      <c r="F84" s="14" t="s">
        <v>743</v>
      </c>
    </row>
    <row r="85" customFormat="false" ht="15" hidden="false" customHeight="false" outlineLevel="0" collapsed="false">
      <c r="A85" s="15" t="s">
        <v>483</v>
      </c>
      <c r="B85" s="16" t="s">
        <v>484</v>
      </c>
      <c r="C85" s="16" t="s">
        <v>45</v>
      </c>
      <c r="D85" s="16" t="s">
        <v>463</v>
      </c>
      <c r="E85" s="16" t="s">
        <v>105</v>
      </c>
      <c r="F85" s="14" t="s">
        <v>743</v>
      </c>
    </row>
    <row r="86" customFormat="false" ht="15" hidden="false" customHeight="false" outlineLevel="0" collapsed="false">
      <c r="A86" s="12" t="s">
        <v>486</v>
      </c>
      <c r="B86" s="13" t="s">
        <v>487</v>
      </c>
      <c r="C86" s="13" t="s">
        <v>44</v>
      </c>
      <c r="D86" s="13" t="s">
        <v>463</v>
      </c>
      <c r="E86" s="13" t="s">
        <v>105</v>
      </c>
      <c r="F86" s="14" t="s">
        <v>743</v>
      </c>
    </row>
    <row r="87" customFormat="false" ht="15" hidden="false" customHeight="false" outlineLevel="0" collapsed="false">
      <c r="A87" s="15" t="s">
        <v>490</v>
      </c>
      <c r="B87" s="16" t="s">
        <v>491</v>
      </c>
      <c r="C87" s="16" t="s">
        <v>44</v>
      </c>
      <c r="D87" s="16" t="s">
        <v>463</v>
      </c>
      <c r="E87" s="16" t="s">
        <v>105</v>
      </c>
      <c r="F87" s="14" t="s">
        <v>743</v>
      </c>
    </row>
    <row r="88" customFormat="false" ht="15" hidden="false" customHeight="false" outlineLevel="0" collapsed="false">
      <c r="A88" s="12" t="s">
        <v>494</v>
      </c>
      <c r="B88" s="13" t="s">
        <v>495</v>
      </c>
      <c r="C88" s="13" t="s">
        <v>44</v>
      </c>
      <c r="D88" s="13" t="s">
        <v>463</v>
      </c>
      <c r="E88" s="13" t="s">
        <v>105</v>
      </c>
      <c r="F88" s="14" t="s">
        <v>743</v>
      </c>
    </row>
    <row r="89" customFormat="false" ht="15" hidden="false" customHeight="false" outlineLevel="0" collapsed="false">
      <c r="A89" s="15" t="s">
        <v>497</v>
      </c>
      <c r="B89" s="16" t="s">
        <v>498</v>
      </c>
      <c r="C89" s="16" t="s">
        <v>45</v>
      </c>
      <c r="D89" s="16" t="s">
        <v>463</v>
      </c>
      <c r="E89" s="16" t="s">
        <v>105</v>
      </c>
      <c r="F89" s="14" t="s">
        <v>743</v>
      </c>
    </row>
    <row r="90" customFormat="false" ht="15" hidden="false" customHeight="false" outlineLevel="0" collapsed="false">
      <c r="A90" s="12" t="s">
        <v>500</v>
      </c>
      <c r="B90" s="13" t="s">
        <v>501</v>
      </c>
      <c r="C90" s="13" t="s">
        <v>45</v>
      </c>
      <c r="D90" s="13" t="s">
        <v>463</v>
      </c>
      <c r="E90" s="13" t="s">
        <v>752</v>
      </c>
      <c r="F90" s="14" t="s">
        <v>743</v>
      </c>
    </row>
    <row r="91" customFormat="false" ht="15" hidden="false" customHeight="false" outlineLevel="0" collapsed="false">
      <c r="A91" s="15" t="s">
        <v>503</v>
      </c>
      <c r="B91" s="16" t="s">
        <v>504</v>
      </c>
      <c r="C91" s="16" t="s">
        <v>45</v>
      </c>
      <c r="D91" s="16" t="s">
        <v>463</v>
      </c>
      <c r="E91" s="16" t="s">
        <v>752</v>
      </c>
      <c r="F91" s="14" t="s">
        <v>743</v>
      </c>
    </row>
    <row r="92" customFormat="false" ht="15" hidden="false" customHeight="false" outlineLevel="0" collapsed="false">
      <c r="A92" s="12" t="s">
        <v>506</v>
      </c>
      <c r="B92" s="13" t="s">
        <v>507</v>
      </c>
      <c r="C92" s="13" t="s">
        <v>45</v>
      </c>
      <c r="D92" s="13" t="s">
        <v>463</v>
      </c>
      <c r="E92" s="13" t="s">
        <v>105</v>
      </c>
      <c r="F92" s="14" t="s">
        <v>743</v>
      </c>
    </row>
    <row r="93" customFormat="false" ht="15" hidden="false" customHeight="false" outlineLevel="0" collapsed="false">
      <c r="A93" s="15" t="s">
        <v>509</v>
      </c>
      <c r="B93" s="16" t="s">
        <v>511</v>
      </c>
      <c r="C93" s="16" t="s">
        <v>44</v>
      </c>
      <c r="D93" s="16" t="s">
        <v>510</v>
      </c>
      <c r="E93" s="16" t="s">
        <v>111</v>
      </c>
      <c r="F93" s="14" t="s">
        <v>743</v>
      </c>
    </row>
    <row r="94" customFormat="false" ht="15" hidden="false" customHeight="false" outlineLevel="0" collapsed="false">
      <c r="A94" s="12" t="s">
        <v>513</v>
      </c>
      <c r="B94" s="13" t="s">
        <v>514</v>
      </c>
      <c r="C94" s="13" t="s">
        <v>44</v>
      </c>
      <c r="D94" s="13" t="s">
        <v>510</v>
      </c>
      <c r="E94" s="13" t="s">
        <v>111</v>
      </c>
      <c r="F94" s="14" t="s">
        <v>743</v>
      </c>
    </row>
    <row r="95" customFormat="false" ht="15" hidden="false" customHeight="false" outlineLevel="0" collapsed="false">
      <c r="A95" s="15" t="s">
        <v>517</v>
      </c>
      <c r="B95" s="16" t="s">
        <v>518</v>
      </c>
      <c r="C95" s="16" t="s">
        <v>44</v>
      </c>
      <c r="D95" s="16" t="s">
        <v>510</v>
      </c>
      <c r="E95" s="16" t="s">
        <v>111</v>
      </c>
      <c r="F95" s="14" t="s">
        <v>743</v>
      </c>
    </row>
    <row r="96" customFormat="false" ht="15" hidden="false" customHeight="false" outlineLevel="0" collapsed="false">
      <c r="A96" s="12" t="s">
        <v>520</v>
      </c>
      <c r="B96" s="13" t="s">
        <v>521</v>
      </c>
      <c r="C96" s="13" t="s">
        <v>44</v>
      </c>
      <c r="D96" s="13" t="s">
        <v>510</v>
      </c>
      <c r="E96" s="13" t="s">
        <v>111</v>
      </c>
      <c r="F96" s="14" t="s">
        <v>743</v>
      </c>
    </row>
    <row r="97" customFormat="false" ht="15" hidden="false" customHeight="false" outlineLevel="0" collapsed="false">
      <c r="A97" s="15" t="s">
        <v>523</v>
      </c>
      <c r="B97" s="16" t="s">
        <v>524</v>
      </c>
      <c r="C97" s="16" t="s">
        <v>44</v>
      </c>
      <c r="D97" s="16" t="s">
        <v>510</v>
      </c>
      <c r="E97" s="16" t="s">
        <v>111</v>
      </c>
      <c r="F97" s="14" t="s">
        <v>743</v>
      </c>
    </row>
    <row r="98" customFormat="false" ht="15" hidden="false" customHeight="false" outlineLevel="0" collapsed="false">
      <c r="A98" s="12" t="s">
        <v>526</v>
      </c>
      <c r="B98" s="13" t="s">
        <v>527</v>
      </c>
      <c r="C98" s="13" t="s">
        <v>45</v>
      </c>
      <c r="D98" s="13" t="s">
        <v>510</v>
      </c>
      <c r="E98" s="13" t="s">
        <v>111</v>
      </c>
      <c r="F98" s="14" t="s">
        <v>743</v>
      </c>
    </row>
    <row r="99" customFormat="false" ht="15" hidden="false" customHeight="false" outlineLevel="0" collapsed="false">
      <c r="A99" s="15" t="s">
        <v>529</v>
      </c>
      <c r="B99" s="16" t="s">
        <v>530</v>
      </c>
      <c r="C99" s="16" t="s">
        <v>45</v>
      </c>
      <c r="D99" s="16" t="s">
        <v>510</v>
      </c>
      <c r="E99" s="16" t="s">
        <v>111</v>
      </c>
      <c r="F99" s="14" t="s">
        <v>743</v>
      </c>
    </row>
    <row r="100" customFormat="false" ht="15" hidden="false" customHeight="false" outlineLevel="0" collapsed="false">
      <c r="A100" s="12" t="s">
        <v>532</v>
      </c>
      <c r="B100" s="13" t="s">
        <v>533</v>
      </c>
      <c r="C100" s="13" t="s">
        <v>46</v>
      </c>
      <c r="D100" s="13" t="s">
        <v>510</v>
      </c>
      <c r="E100" s="13" t="s">
        <v>111</v>
      </c>
      <c r="F100" s="14" t="s">
        <v>743</v>
      </c>
    </row>
    <row r="101" customFormat="false" ht="15" hidden="false" customHeight="false" outlineLevel="0" collapsed="false">
      <c r="A101" s="15" t="s">
        <v>535</v>
      </c>
      <c r="B101" s="16" t="s">
        <v>536</v>
      </c>
      <c r="C101" s="16" t="s">
        <v>45</v>
      </c>
      <c r="D101" s="16" t="s">
        <v>510</v>
      </c>
      <c r="E101" s="16" t="s">
        <v>111</v>
      </c>
      <c r="F101" s="14" t="s">
        <v>743</v>
      </c>
    </row>
    <row r="102" customFormat="false" ht="15" hidden="false" customHeight="false" outlineLevel="0" collapsed="false">
      <c r="A102" s="12" t="s">
        <v>538</v>
      </c>
      <c r="B102" s="13" t="s">
        <v>539</v>
      </c>
      <c r="C102" s="13" t="s">
        <v>43</v>
      </c>
      <c r="D102" s="13" t="s">
        <v>106</v>
      </c>
      <c r="E102" s="13" t="s">
        <v>753</v>
      </c>
      <c r="F102" s="14" t="s">
        <v>743</v>
      </c>
    </row>
    <row r="103" customFormat="false" ht="15" hidden="false" customHeight="false" outlineLevel="0" collapsed="false">
      <c r="A103" s="15" t="s">
        <v>541</v>
      </c>
      <c r="B103" s="16" t="s">
        <v>542</v>
      </c>
      <c r="C103" s="16" t="s">
        <v>44</v>
      </c>
      <c r="D103" s="16" t="s">
        <v>106</v>
      </c>
      <c r="E103" s="16" t="s">
        <v>116</v>
      </c>
      <c r="F103" s="14" t="s">
        <v>743</v>
      </c>
    </row>
    <row r="104" customFormat="false" ht="15" hidden="false" customHeight="false" outlineLevel="0" collapsed="false">
      <c r="A104" s="12" t="s">
        <v>545</v>
      </c>
      <c r="B104" s="13" t="s">
        <v>546</v>
      </c>
      <c r="C104" s="13" t="s">
        <v>45</v>
      </c>
      <c r="D104" s="13" t="s">
        <v>106</v>
      </c>
      <c r="E104" s="13" t="s">
        <v>116</v>
      </c>
      <c r="F104" s="14" t="s">
        <v>743</v>
      </c>
    </row>
    <row r="105" customFormat="false" ht="15" hidden="false" customHeight="false" outlineLevel="0" collapsed="false">
      <c r="A105" s="15" t="s">
        <v>162</v>
      </c>
      <c r="B105" s="16" t="s">
        <v>549</v>
      </c>
      <c r="C105" s="16" t="s">
        <v>45</v>
      </c>
      <c r="D105" s="16" t="s">
        <v>106</v>
      </c>
      <c r="E105" s="16" t="s">
        <v>754</v>
      </c>
      <c r="F105" s="14" t="s">
        <v>743</v>
      </c>
    </row>
    <row r="106" customFormat="false" ht="15" hidden="false" customHeight="false" outlineLevel="0" collapsed="false">
      <c r="A106" s="12" t="s">
        <v>552</v>
      </c>
      <c r="B106" s="13" t="s">
        <v>553</v>
      </c>
      <c r="C106" s="13" t="s">
        <v>45</v>
      </c>
      <c r="D106" s="13" t="s">
        <v>106</v>
      </c>
      <c r="E106" s="13" t="s">
        <v>116</v>
      </c>
      <c r="F106" s="14" t="s">
        <v>743</v>
      </c>
    </row>
    <row r="107" customFormat="false" ht="15" hidden="false" customHeight="false" outlineLevel="0" collapsed="false">
      <c r="A107" s="15" t="s">
        <v>556</v>
      </c>
      <c r="B107" s="16" t="s">
        <v>557</v>
      </c>
      <c r="C107" s="16" t="s">
        <v>45</v>
      </c>
      <c r="D107" s="16" t="s">
        <v>106</v>
      </c>
      <c r="E107" s="16" t="s">
        <v>755</v>
      </c>
      <c r="F107" s="14" t="s">
        <v>743</v>
      </c>
    </row>
    <row r="108" customFormat="false" ht="15" hidden="false" customHeight="false" outlineLevel="0" collapsed="false">
      <c r="A108" s="12" t="s">
        <v>560</v>
      </c>
      <c r="B108" s="13" t="s">
        <v>561</v>
      </c>
      <c r="C108" s="13" t="s">
        <v>45</v>
      </c>
      <c r="D108" s="13" t="s">
        <v>106</v>
      </c>
      <c r="E108" s="13" t="s">
        <v>116</v>
      </c>
      <c r="F108" s="14" t="s">
        <v>743</v>
      </c>
    </row>
    <row r="109" customFormat="false" ht="15" hidden="false" customHeight="false" outlineLevel="0" collapsed="false">
      <c r="A109" s="15" t="s">
        <v>563</v>
      </c>
      <c r="B109" s="16" t="s">
        <v>565</v>
      </c>
      <c r="C109" s="16" t="s">
        <v>46</v>
      </c>
      <c r="D109" s="16" t="s">
        <v>564</v>
      </c>
      <c r="E109" s="16" t="s">
        <v>212</v>
      </c>
      <c r="F109" s="19" t="s">
        <v>744</v>
      </c>
    </row>
    <row r="110" customFormat="false" ht="15" hidden="false" customHeight="false" outlineLevel="0" collapsed="false">
      <c r="A110" s="12" t="s">
        <v>567</v>
      </c>
      <c r="B110" s="13" t="s">
        <v>568</v>
      </c>
      <c r="C110" s="13" t="s">
        <v>46</v>
      </c>
      <c r="D110" s="13" t="s">
        <v>564</v>
      </c>
      <c r="E110" s="13" t="s">
        <v>212</v>
      </c>
      <c r="F110" s="19" t="s">
        <v>744</v>
      </c>
    </row>
    <row r="111" customFormat="false" ht="15" hidden="false" customHeight="false" outlineLevel="0" collapsed="false">
      <c r="A111" s="15" t="s">
        <v>570</v>
      </c>
      <c r="B111" s="16" t="s">
        <v>571</v>
      </c>
      <c r="C111" s="16" t="s">
        <v>44</v>
      </c>
      <c r="D111" s="16" t="s">
        <v>282</v>
      </c>
      <c r="E111" s="16" t="s">
        <v>212</v>
      </c>
      <c r="F111" s="19" t="s">
        <v>744</v>
      </c>
    </row>
    <row r="112" customFormat="false" ht="15" hidden="false" customHeight="false" outlineLevel="0" collapsed="false">
      <c r="A112" s="12" t="s">
        <v>574</v>
      </c>
      <c r="B112" s="13" t="s">
        <v>575</v>
      </c>
      <c r="C112" s="13" t="s">
        <v>44</v>
      </c>
      <c r="D112" s="13" t="s">
        <v>282</v>
      </c>
      <c r="E112" s="13" t="s">
        <v>212</v>
      </c>
      <c r="F112" s="19" t="s">
        <v>744</v>
      </c>
    </row>
    <row r="113" customFormat="false" ht="15" hidden="false" customHeight="false" outlineLevel="0" collapsed="false">
      <c r="A113" s="15" t="s">
        <v>578</v>
      </c>
      <c r="B113" s="16" t="s">
        <v>579</v>
      </c>
      <c r="C113" s="16" t="s">
        <v>45</v>
      </c>
      <c r="D113" s="16" t="s">
        <v>282</v>
      </c>
      <c r="E113" s="16" t="s">
        <v>212</v>
      </c>
      <c r="F113" s="19" t="s">
        <v>744</v>
      </c>
    </row>
    <row r="114" customFormat="false" ht="15" hidden="false" customHeight="false" outlineLevel="0" collapsed="false">
      <c r="A114" s="12" t="s">
        <v>582</v>
      </c>
      <c r="B114" s="13" t="s">
        <v>583</v>
      </c>
      <c r="C114" s="13" t="s">
        <v>45</v>
      </c>
      <c r="D114" s="13" t="s">
        <v>282</v>
      </c>
      <c r="E114" s="13" t="s">
        <v>212</v>
      </c>
      <c r="F114" s="19" t="s">
        <v>744</v>
      </c>
    </row>
    <row r="115" customFormat="false" ht="15" hidden="false" customHeight="false" outlineLevel="0" collapsed="false">
      <c r="A115" s="15" t="s">
        <v>585</v>
      </c>
      <c r="B115" s="16" t="s">
        <v>586</v>
      </c>
      <c r="C115" s="16" t="s">
        <v>46</v>
      </c>
      <c r="D115" s="16" t="s">
        <v>282</v>
      </c>
      <c r="E115" s="16" t="s">
        <v>212</v>
      </c>
      <c r="F115" s="19" t="s">
        <v>744</v>
      </c>
    </row>
    <row r="116" customFormat="false" ht="15" hidden="false" customHeight="false" outlineLevel="0" collapsed="false">
      <c r="A116" s="12" t="s">
        <v>589</v>
      </c>
      <c r="B116" s="13" t="s">
        <v>590</v>
      </c>
      <c r="C116" s="13" t="s">
        <v>46</v>
      </c>
      <c r="D116" s="13" t="s">
        <v>282</v>
      </c>
      <c r="E116" s="13" t="s">
        <v>212</v>
      </c>
      <c r="F116" s="19" t="s">
        <v>744</v>
      </c>
    </row>
    <row r="117" customFormat="false" ht="15" hidden="false" customHeight="false" outlineLevel="0" collapsed="false">
      <c r="A117" s="15" t="s">
        <v>593</v>
      </c>
      <c r="B117" s="16" t="s">
        <v>594</v>
      </c>
      <c r="C117" s="16" t="s">
        <v>45</v>
      </c>
      <c r="D117" s="16" t="s">
        <v>282</v>
      </c>
      <c r="E117" s="16" t="s">
        <v>212</v>
      </c>
      <c r="F117" s="19" t="s">
        <v>744</v>
      </c>
    </row>
    <row r="118" customFormat="false" ht="15" hidden="false" customHeight="false" outlineLevel="0" collapsed="false">
      <c r="A118" s="12" t="s">
        <v>596</v>
      </c>
      <c r="B118" s="13" t="s">
        <v>597</v>
      </c>
      <c r="C118" s="13" t="s">
        <v>46</v>
      </c>
      <c r="D118" s="13" t="s">
        <v>282</v>
      </c>
      <c r="E118" s="13" t="s">
        <v>212</v>
      </c>
      <c r="F118" s="19" t="s">
        <v>744</v>
      </c>
    </row>
    <row r="119" customFormat="false" ht="15" hidden="false" customHeight="false" outlineLevel="0" collapsed="false">
      <c r="A119" s="15" t="s">
        <v>599</v>
      </c>
      <c r="B119" s="16" t="s">
        <v>600</v>
      </c>
      <c r="C119" s="16" t="s">
        <v>46</v>
      </c>
      <c r="D119" s="16" t="s">
        <v>282</v>
      </c>
      <c r="E119" s="16" t="s">
        <v>81</v>
      </c>
      <c r="F119" s="14" t="s">
        <v>743</v>
      </c>
    </row>
    <row r="120" customFormat="false" ht="15" hidden="false" customHeight="false" outlineLevel="0" collapsed="false">
      <c r="A120" s="12" t="s">
        <v>602</v>
      </c>
      <c r="B120" s="13" t="s">
        <v>604</v>
      </c>
      <c r="C120" s="13" t="s">
        <v>45</v>
      </c>
      <c r="D120" s="13" t="s">
        <v>603</v>
      </c>
      <c r="E120" s="13" t="s">
        <v>153</v>
      </c>
      <c r="F120" s="14" t="s">
        <v>743</v>
      </c>
    </row>
    <row r="121" customFormat="false" ht="15" hidden="false" customHeight="false" outlineLevel="0" collapsed="false">
      <c r="A121" s="15" t="s">
        <v>607</v>
      </c>
      <c r="B121" s="16" t="s">
        <v>608</v>
      </c>
      <c r="C121" s="16" t="s">
        <v>46</v>
      </c>
      <c r="D121" s="16" t="s">
        <v>603</v>
      </c>
      <c r="E121" s="16" t="s">
        <v>212</v>
      </c>
      <c r="F121" s="19" t="s">
        <v>744</v>
      </c>
    </row>
    <row r="122" customFormat="false" ht="15" hidden="false" customHeight="false" outlineLevel="0" collapsed="false">
      <c r="A122" s="12" t="s">
        <v>610</v>
      </c>
      <c r="B122" s="13" t="s">
        <v>611</v>
      </c>
      <c r="C122" s="13" t="s">
        <v>44</v>
      </c>
      <c r="D122" s="13" t="s">
        <v>164</v>
      </c>
      <c r="E122" s="13" t="s">
        <v>612</v>
      </c>
      <c r="F122" s="14" t="s">
        <v>743</v>
      </c>
    </row>
    <row r="123" customFormat="false" ht="15" hidden="false" customHeight="false" outlineLevel="0" collapsed="false">
      <c r="A123" s="15" t="s">
        <v>614</v>
      </c>
      <c r="B123" s="16" t="s">
        <v>615</v>
      </c>
      <c r="C123" s="16" t="s">
        <v>44</v>
      </c>
      <c r="D123" s="16" t="s">
        <v>164</v>
      </c>
      <c r="E123" s="16" t="s">
        <v>612</v>
      </c>
      <c r="F123" s="14" t="s">
        <v>743</v>
      </c>
    </row>
    <row r="124" customFormat="false" ht="15" hidden="false" customHeight="false" outlineLevel="0" collapsed="false">
      <c r="A124" s="12" t="s">
        <v>617</v>
      </c>
      <c r="B124" s="13" t="s">
        <v>619</v>
      </c>
      <c r="C124" s="13" t="s">
        <v>44</v>
      </c>
      <c r="D124" s="13" t="s">
        <v>618</v>
      </c>
      <c r="E124" s="13" t="s">
        <v>212</v>
      </c>
      <c r="F124" s="19" t="s">
        <v>744</v>
      </c>
    </row>
    <row r="125" customFormat="false" ht="15" hidden="false" customHeight="false" outlineLevel="0" collapsed="false">
      <c r="A125" s="15" t="s">
        <v>622</v>
      </c>
      <c r="B125" s="16" t="s">
        <v>623</v>
      </c>
      <c r="C125" s="16" t="s">
        <v>45</v>
      </c>
      <c r="D125" s="16" t="s">
        <v>618</v>
      </c>
      <c r="E125" s="16" t="s">
        <v>212</v>
      </c>
      <c r="F125" s="19" t="s">
        <v>744</v>
      </c>
    </row>
    <row r="126" customFormat="false" ht="15" hidden="false" customHeight="false" outlineLevel="0" collapsed="false">
      <c r="A126" s="12" t="s">
        <v>625</v>
      </c>
      <c r="B126" s="13" t="s">
        <v>626</v>
      </c>
      <c r="C126" s="13" t="s">
        <v>45</v>
      </c>
      <c r="D126" s="13" t="s">
        <v>618</v>
      </c>
      <c r="E126" s="13" t="s">
        <v>212</v>
      </c>
      <c r="F126" s="19" t="s">
        <v>744</v>
      </c>
    </row>
    <row r="127" customFormat="false" ht="15" hidden="false" customHeight="false" outlineLevel="0" collapsed="false">
      <c r="A127" s="15" t="s">
        <v>628</v>
      </c>
      <c r="B127" s="16" t="s">
        <v>629</v>
      </c>
      <c r="C127" s="16" t="s">
        <v>45</v>
      </c>
      <c r="D127" s="16" t="s">
        <v>618</v>
      </c>
      <c r="E127" s="16" t="s">
        <v>212</v>
      </c>
      <c r="F127" s="19" t="s">
        <v>744</v>
      </c>
    </row>
    <row r="128" customFormat="false" ht="15" hidden="false" customHeight="false" outlineLevel="0" collapsed="false">
      <c r="A128" s="12" t="s">
        <v>632</v>
      </c>
      <c r="B128" s="13" t="s">
        <v>633</v>
      </c>
      <c r="C128" s="13" t="s">
        <v>45</v>
      </c>
      <c r="D128" s="13" t="s">
        <v>618</v>
      </c>
      <c r="E128" s="13" t="s">
        <v>212</v>
      </c>
      <c r="F128" s="19" t="s">
        <v>744</v>
      </c>
    </row>
    <row r="129" customFormat="false" ht="15" hidden="false" customHeight="false" outlineLevel="0" collapsed="false">
      <c r="A129" s="15" t="s">
        <v>635</v>
      </c>
      <c r="B129" s="16" t="s">
        <v>636</v>
      </c>
      <c r="C129" s="16" t="s">
        <v>46</v>
      </c>
      <c r="D129" s="16" t="s">
        <v>618</v>
      </c>
      <c r="E129" s="16" t="s">
        <v>212</v>
      </c>
      <c r="F129" s="19" t="s">
        <v>744</v>
      </c>
    </row>
    <row r="130" customFormat="false" ht="15" hidden="false" customHeight="false" outlineLevel="0" collapsed="false">
      <c r="A130" s="12" t="s">
        <v>638</v>
      </c>
      <c r="B130" s="13" t="s">
        <v>639</v>
      </c>
      <c r="C130" s="13" t="s">
        <v>46</v>
      </c>
      <c r="D130" s="13" t="s">
        <v>618</v>
      </c>
      <c r="E130" s="13" t="s">
        <v>212</v>
      </c>
      <c r="F130" s="19" t="s">
        <v>744</v>
      </c>
    </row>
    <row r="131" customFormat="false" ht="15" hidden="false" customHeight="false" outlineLevel="0" collapsed="false">
      <c r="A131" s="15" t="s">
        <v>642</v>
      </c>
      <c r="B131" s="16" t="s">
        <v>643</v>
      </c>
      <c r="C131" s="16" t="s">
        <v>45</v>
      </c>
      <c r="D131" s="16" t="s">
        <v>618</v>
      </c>
      <c r="E131" s="16" t="s">
        <v>212</v>
      </c>
      <c r="F131" s="19" t="s">
        <v>744</v>
      </c>
    </row>
    <row r="132" customFormat="false" ht="15" hidden="false" customHeight="false" outlineLevel="0" collapsed="false">
      <c r="A132" s="12" t="s">
        <v>645</v>
      </c>
      <c r="B132" s="13" t="s">
        <v>646</v>
      </c>
      <c r="C132" s="13" t="s">
        <v>44</v>
      </c>
      <c r="D132" s="13" t="s">
        <v>289</v>
      </c>
      <c r="E132" s="13" t="s">
        <v>212</v>
      </c>
      <c r="F132" s="19" t="s">
        <v>744</v>
      </c>
    </row>
    <row r="133" customFormat="false" ht="15" hidden="false" customHeight="false" outlineLevel="0" collapsed="false">
      <c r="A133" s="15" t="s">
        <v>649</v>
      </c>
      <c r="B133" s="16" t="s">
        <v>650</v>
      </c>
      <c r="C133" s="16" t="s">
        <v>44</v>
      </c>
      <c r="D133" s="16" t="s">
        <v>289</v>
      </c>
      <c r="E133" s="16" t="s">
        <v>212</v>
      </c>
      <c r="F133" s="19" t="s">
        <v>744</v>
      </c>
    </row>
    <row r="134" customFormat="false" ht="23.85" hidden="false" customHeight="false" outlineLevel="0" collapsed="false">
      <c r="A134" s="12" t="s">
        <v>652</v>
      </c>
      <c r="B134" s="13" t="s">
        <v>653</v>
      </c>
      <c r="C134" s="13" t="s">
        <v>43</v>
      </c>
      <c r="D134" s="13" t="s">
        <v>289</v>
      </c>
      <c r="E134" s="13" t="s">
        <v>212</v>
      </c>
      <c r="F134" s="19" t="s">
        <v>744</v>
      </c>
    </row>
    <row r="135" customFormat="false" ht="15" hidden="false" customHeight="false" outlineLevel="0" collapsed="false">
      <c r="A135" s="15" t="s">
        <v>656</v>
      </c>
      <c r="B135" s="16" t="s">
        <v>657</v>
      </c>
      <c r="C135" s="16" t="s">
        <v>44</v>
      </c>
      <c r="D135" s="16" t="s">
        <v>289</v>
      </c>
      <c r="E135" s="16" t="s">
        <v>212</v>
      </c>
      <c r="F135" s="19" t="s">
        <v>744</v>
      </c>
    </row>
    <row r="136" customFormat="false" ht="15" hidden="false" customHeight="false" outlineLevel="0" collapsed="false">
      <c r="A136" s="12" t="s">
        <v>659</v>
      </c>
      <c r="B136" s="13" t="s">
        <v>660</v>
      </c>
      <c r="C136" s="13" t="s">
        <v>45</v>
      </c>
      <c r="D136" s="13" t="s">
        <v>289</v>
      </c>
      <c r="E136" s="13" t="s">
        <v>212</v>
      </c>
      <c r="F136" s="19" t="s">
        <v>744</v>
      </c>
    </row>
    <row r="137" customFormat="false" ht="15" hidden="false" customHeight="false" outlineLevel="0" collapsed="false">
      <c r="A137" s="15" t="s">
        <v>663</v>
      </c>
      <c r="B137" s="16" t="s">
        <v>664</v>
      </c>
      <c r="C137" s="16" t="s">
        <v>46</v>
      </c>
      <c r="D137" s="16" t="s">
        <v>289</v>
      </c>
      <c r="E137" s="16" t="s">
        <v>212</v>
      </c>
      <c r="F137" s="19" t="s">
        <v>744</v>
      </c>
    </row>
    <row r="138" customFormat="false" ht="15" hidden="false" customHeight="false" outlineLevel="0" collapsed="false">
      <c r="A138" s="12" t="s">
        <v>667</v>
      </c>
      <c r="B138" s="13" t="s">
        <v>668</v>
      </c>
      <c r="C138" s="13" t="s">
        <v>46</v>
      </c>
      <c r="D138" s="13" t="s">
        <v>289</v>
      </c>
      <c r="E138" s="13" t="s">
        <v>153</v>
      </c>
      <c r="F138" s="14" t="s">
        <v>743</v>
      </c>
    </row>
    <row r="139" customFormat="false" ht="15" hidden="false" customHeight="false" outlineLevel="0" collapsed="false">
      <c r="A139" s="15" t="s">
        <v>671</v>
      </c>
      <c r="B139" s="16" t="s">
        <v>672</v>
      </c>
      <c r="C139" s="16" t="s">
        <v>45</v>
      </c>
      <c r="D139" s="16" t="s">
        <v>289</v>
      </c>
      <c r="E139" s="16" t="s">
        <v>212</v>
      </c>
      <c r="F139" s="19" t="s">
        <v>744</v>
      </c>
    </row>
    <row r="140" customFormat="false" ht="15" hidden="false" customHeight="false" outlineLevel="0" collapsed="false">
      <c r="A140" s="12" t="s">
        <v>674</v>
      </c>
      <c r="B140" s="13" t="s">
        <v>675</v>
      </c>
      <c r="C140" s="13" t="s">
        <v>44</v>
      </c>
      <c r="D140" s="13" t="s">
        <v>289</v>
      </c>
      <c r="E140" s="13" t="s">
        <v>212</v>
      </c>
      <c r="F140" s="19" t="s">
        <v>744</v>
      </c>
    </row>
    <row r="141" customFormat="false" ht="15" hidden="false" customHeight="false" outlineLevel="0" collapsed="false">
      <c r="A141" s="15" t="s">
        <v>677</v>
      </c>
      <c r="B141" s="16" t="s">
        <v>678</v>
      </c>
      <c r="C141" s="16" t="s">
        <v>45</v>
      </c>
      <c r="D141" s="16" t="s">
        <v>174</v>
      </c>
      <c r="E141" s="16" t="s">
        <v>173</v>
      </c>
      <c r="F141" s="14" t="s">
        <v>743</v>
      </c>
    </row>
    <row r="142" customFormat="false" ht="15" hidden="false" customHeight="false" outlineLevel="0" collapsed="false">
      <c r="A142" s="12" t="s">
        <v>680</v>
      </c>
      <c r="B142" s="13" t="s">
        <v>681</v>
      </c>
      <c r="C142" s="13" t="s">
        <v>45</v>
      </c>
      <c r="D142" s="13" t="s">
        <v>174</v>
      </c>
      <c r="E142" s="13" t="s">
        <v>179</v>
      </c>
      <c r="F142" s="14" t="s">
        <v>743</v>
      </c>
    </row>
    <row r="143" customFormat="false" ht="15" hidden="false" customHeight="false" outlineLevel="0" collapsed="false">
      <c r="A143" s="15" t="s">
        <v>683</v>
      </c>
      <c r="B143" s="16" t="s">
        <v>684</v>
      </c>
      <c r="C143" s="16" t="s">
        <v>45</v>
      </c>
      <c r="D143" s="16" t="s">
        <v>174</v>
      </c>
      <c r="E143" s="16" t="s">
        <v>183</v>
      </c>
      <c r="F143" s="14" t="s">
        <v>743</v>
      </c>
    </row>
    <row r="144" customFormat="false" ht="15" hidden="false" customHeight="false" outlineLevel="0" collapsed="false">
      <c r="A144" s="12" t="s">
        <v>686</v>
      </c>
      <c r="B144" s="13" t="s">
        <v>687</v>
      </c>
      <c r="C144" s="13" t="s">
        <v>45</v>
      </c>
      <c r="D144" s="13" t="s">
        <v>174</v>
      </c>
      <c r="E144" s="13" t="s">
        <v>688</v>
      </c>
      <c r="F144" s="14" t="s">
        <v>743</v>
      </c>
    </row>
    <row r="145" customFormat="false" ht="15" hidden="false" customHeight="false" outlineLevel="0" collapsed="false">
      <c r="A145" s="15" t="s">
        <v>690</v>
      </c>
      <c r="B145" s="16" t="s">
        <v>691</v>
      </c>
      <c r="C145" s="16" t="s">
        <v>46</v>
      </c>
      <c r="D145" s="16" t="s">
        <v>174</v>
      </c>
      <c r="E145" s="16" t="s">
        <v>179</v>
      </c>
      <c r="F145" s="14" t="s">
        <v>743</v>
      </c>
    </row>
    <row r="146" customFormat="false" ht="15" hidden="false" customHeight="false" outlineLevel="0" collapsed="false">
      <c r="A146" s="12" t="s">
        <v>693</v>
      </c>
      <c r="B146" s="13" t="s">
        <v>694</v>
      </c>
      <c r="C146" s="13" t="s">
        <v>46</v>
      </c>
      <c r="D146" s="13" t="s">
        <v>174</v>
      </c>
      <c r="E146" s="13" t="s">
        <v>173</v>
      </c>
      <c r="F146" s="14" t="s">
        <v>743</v>
      </c>
    </row>
    <row r="147" customFormat="false" ht="15" hidden="false" customHeight="false" outlineLevel="0" collapsed="false">
      <c r="A147" s="15" t="s">
        <v>696</v>
      </c>
      <c r="B147" s="16" t="s">
        <v>697</v>
      </c>
      <c r="C147" s="16" t="s">
        <v>46</v>
      </c>
      <c r="D147" s="16" t="s">
        <v>174</v>
      </c>
      <c r="E147" s="16" t="s">
        <v>179</v>
      </c>
      <c r="F147" s="14" t="s">
        <v>743</v>
      </c>
    </row>
    <row r="148" customFormat="false" ht="15" hidden="false" customHeight="false" outlineLevel="0" collapsed="false">
      <c r="A148" s="12" t="s">
        <v>699</v>
      </c>
      <c r="B148" s="13" t="s">
        <v>700</v>
      </c>
      <c r="C148" s="13" t="s">
        <v>46</v>
      </c>
      <c r="D148" s="13" t="s">
        <v>174</v>
      </c>
      <c r="E148" s="13" t="s">
        <v>701</v>
      </c>
      <c r="F148" s="14" t="s">
        <v>743</v>
      </c>
    </row>
    <row r="149" customFormat="false" ht="15" hidden="false" customHeight="false" outlineLevel="0" collapsed="false">
      <c r="A149" s="15" t="s">
        <v>703</v>
      </c>
      <c r="B149" s="16" t="s">
        <v>705</v>
      </c>
      <c r="C149" s="16" t="s">
        <v>44</v>
      </c>
      <c r="D149" s="16" t="s">
        <v>704</v>
      </c>
      <c r="E149" s="16" t="s">
        <v>212</v>
      </c>
      <c r="F149" s="19" t="s">
        <v>744</v>
      </c>
    </row>
    <row r="150" customFormat="false" ht="15" hidden="false" customHeight="false" outlineLevel="0" collapsed="false">
      <c r="A150" s="12" t="s">
        <v>707</v>
      </c>
      <c r="B150" s="13" t="s">
        <v>708</v>
      </c>
      <c r="C150" s="13" t="s">
        <v>46</v>
      </c>
      <c r="D150" s="13" t="s">
        <v>704</v>
      </c>
      <c r="E150" s="13" t="s">
        <v>212</v>
      </c>
      <c r="F150" s="19" t="s">
        <v>744</v>
      </c>
    </row>
    <row r="151" customFormat="false" ht="15" hidden="false" customHeight="false" outlineLevel="0" collapsed="false">
      <c r="A151" s="15" t="s">
        <v>710</v>
      </c>
      <c r="B151" s="16" t="s">
        <v>711</v>
      </c>
      <c r="C151" s="16" t="s">
        <v>46</v>
      </c>
      <c r="D151" s="16" t="s">
        <v>704</v>
      </c>
      <c r="E151" s="16" t="s">
        <v>212</v>
      </c>
      <c r="F151" s="19" t="s">
        <v>744</v>
      </c>
    </row>
    <row r="152" customFormat="false" ht="15" hidden="false" customHeight="false" outlineLevel="0" collapsed="false">
      <c r="A152" s="12" t="s">
        <v>714</v>
      </c>
      <c r="B152" s="13" t="s">
        <v>715</v>
      </c>
      <c r="C152" s="13" t="s">
        <v>46</v>
      </c>
      <c r="D152" s="13" t="s">
        <v>704</v>
      </c>
      <c r="E152" s="13" t="s">
        <v>212</v>
      </c>
      <c r="F152" s="19" t="s">
        <v>744</v>
      </c>
    </row>
    <row r="153" customFormat="false" ht="15" hidden="false" customHeight="false" outlineLevel="0" collapsed="false">
      <c r="A153" s="15" t="s">
        <v>131</v>
      </c>
      <c r="B153" s="16" t="s">
        <v>718</v>
      </c>
      <c r="C153" s="16" t="s">
        <v>46</v>
      </c>
      <c r="D153" s="16" t="s">
        <v>717</v>
      </c>
      <c r="E153" s="16" t="s">
        <v>127</v>
      </c>
      <c r="F153" s="14" t="s">
        <v>743</v>
      </c>
    </row>
    <row r="154" customFormat="false" ht="15" hidden="false" customHeight="false" outlineLevel="0" collapsed="false">
      <c r="A154" s="12" t="s">
        <v>721</v>
      </c>
      <c r="B154" s="13" t="s">
        <v>723</v>
      </c>
      <c r="C154" s="13" t="s">
        <v>46</v>
      </c>
      <c r="D154" s="13" t="s">
        <v>722</v>
      </c>
      <c r="E154" s="13" t="s">
        <v>163</v>
      </c>
      <c r="F154" s="14" t="s">
        <v>743</v>
      </c>
    </row>
    <row r="155" customFormat="false" ht="15" hidden="false" customHeight="false" outlineLevel="0" collapsed="false">
      <c r="A155" s="15" t="s">
        <v>725</v>
      </c>
      <c r="B155" s="16" t="s">
        <v>726</v>
      </c>
      <c r="C155" s="16" t="s">
        <v>46</v>
      </c>
      <c r="D155" s="16" t="s">
        <v>722</v>
      </c>
      <c r="E155" s="16" t="s">
        <v>163</v>
      </c>
      <c r="F155" s="14" t="s">
        <v>743</v>
      </c>
    </row>
    <row r="156" customFormat="false" ht="15" hidden="false" customHeight="false" outlineLevel="0" collapsed="false">
      <c r="A156" s="12" t="s">
        <v>728</v>
      </c>
      <c r="B156" s="13" t="s">
        <v>729</v>
      </c>
      <c r="C156" s="13" t="s">
        <v>46</v>
      </c>
      <c r="D156" s="13" t="s">
        <v>722</v>
      </c>
      <c r="E156" s="13" t="s">
        <v>212</v>
      </c>
      <c r="F156" s="19" t="s">
        <v>744</v>
      </c>
    </row>
    <row r="157" customFormat="false" ht="15" hidden="false" customHeight="false" outlineLevel="0" collapsed="false">
      <c r="A157" s="15" t="s">
        <v>731</v>
      </c>
      <c r="B157" s="16" t="s">
        <v>732</v>
      </c>
      <c r="C157" s="16" t="s">
        <v>46</v>
      </c>
      <c r="D157" s="16" t="s">
        <v>722</v>
      </c>
      <c r="E157" s="16" t="s">
        <v>212</v>
      </c>
      <c r="F157" s="19" t="s">
        <v>744</v>
      </c>
    </row>
    <row r="158" customFormat="false" ht="15" hidden="false" customHeight="false" outlineLevel="0" collapsed="false">
      <c r="A158" s="12" t="s">
        <v>734</v>
      </c>
      <c r="B158" s="13" t="s">
        <v>735</v>
      </c>
      <c r="C158" s="13" t="s">
        <v>46</v>
      </c>
      <c r="D158" s="13" t="s">
        <v>722</v>
      </c>
      <c r="E158" s="13" t="s">
        <v>212</v>
      </c>
      <c r="F158" s="19" t="s">
        <v>744</v>
      </c>
    </row>
    <row r="159" customFormat="false" ht="15" hidden="false" customHeight="false" outlineLevel="0" collapsed="false">
      <c r="A159" s="15" t="s">
        <v>737</v>
      </c>
      <c r="B159" s="16" t="s">
        <v>738</v>
      </c>
      <c r="C159" s="16" t="s">
        <v>46</v>
      </c>
      <c r="D159" s="16" t="s">
        <v>722</v>
      </c>
      <c r="E159" s="16" t="s">
        <v>132</v>
      </c>
      <c r="F159" s="14" t="s">
        <v>743</v>
      </c>
    </row>
  </sheetData>
  <autoFilter ref="A1:F1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3" min="3" style="0" width="9"/>
    <col collapsed="false" customWidth="true" hidden="false" outlineLevel="0" max="4" min="4" style="0" width="16"/>
    <col collapsed="false" customWidth="true" hidden="false" outlineLevel="0" max="6" min="5" style="0" width="12"/>
    <col collapsed="false" customWidth="true" hidden="false" outlineLevel="0" max="7" min="7" style="0" width="16"/>
    <col collapsed="false" customWidth="true" hidden="false" outlineLevel="0" max="9" min="8" style="0" width="14"/>
    <col collapsed="false" customWidth="true" hidden="false" outlineLevel="0" max="10" min="10" style="0" width="40"/>
  </cols>
  <sheetData>
    <row r="1" customFormat="false" ht="31.5" hidden="false" customHeight="true" outlineLevel="0" collapsed="false">
      <c r="A1" s="7" t="s">
        <v>188</v>
      </c>
      <c r="B1" s="7" t="s">
        <v>190</v>
      </c>
      <c r="C1" s="7" t="s">
        <v>191</v>
      </c>
      <c r="D1" s="7" t="s">
        <v>189</v>
      </c>
      <c r="E1" s="7" t="s">
        <v>192</v>
      </c>
      <c r="F1" s="7" t="s">
        <v>756</v>
      </c>
      <c r="G1" s="7" t="s">
        <v>757</v>
      </c>
      <c r="H1" s="7" t="s">
        <v>758</v>
      </c>
      <c r="I1" s="7" t="s">
        <v>759</v>
      </c>
      <c r="J1" s="7" t="s">
        <v>760</v>
      </c>
    </row>
    <row r="2" customFormat="false" ht="15" hidden="false" customHeight="false" outlineLevel="0" collapsed="false">
      <c r="A2" s="12" t="s">
        <v>195</v>
      </c>
      <c r="B2" s="13" t="s">
        <v>196</v>
      </c>
      <c r="C2" s="13" t="s">
        <v>43</v>
      </c>
      <c r="D2" s="13" t="s">
        <v>133</v>
      </c>
      <c r="E2" s="13" t="s">
        <v>197</v>
      </c>
      <c r="F2" s="20" t="s">
        <v>761</v>
      </c>
      <c r="G2" s="13"/>
      <c r="H2" s="13"/>
      <c r="I2" s="13"/>
      <c r="J2" s="13"/>
    </row>
    <row r="3" customFormat="false" ht="15" hidden="false" customHeight="false" outlineLevel="0" collapsed="false">
      <c r="A3" s="15" t="s">
        <v>199</v>
      </c>
      <c r="B3" s="16" t="s">
        <v>200</v>
      </c>
      <c r="C3" s="16" t="s">
        <v>43</v>
      </c>
      <c r="D3" s="16" t="s">
        <v>133</v>
      </c>
      <c r="E3" s="16" t="s">
        <v>197</v>
      </c>
      <c r="F3" s="20" t="s">
        <v>761</v>
      </c>
      <c r="G3" s="16"/>
      <c r="H3" s="16"/>
      <c r="I3" s="16"/>
      <c r="J3" s="16"/>
    </row>
    <row r="4" customFormat="false" ht="15" hidden="false" customHeight="false" outlineLevel="0" collapsed="false">
      <c r="A4" s="12" t="s">
        <v>141</v>
      </c>
      <c r="B4" s="13" t="s">
        <v>203</v>
      </c>
      <c r="C4" s="13" t="s">
        <v>45</v>
      </c>
      <c r="D4" s="13" t="s">
        <v>133</v>
      </c>
      <c r="E4" s="13" t="s">
        <v>205</v>
      </c>
      <c r="F4" s="20" t="s">
        <v>761</v>
      </c>
      <c r="G4" s="13"/>
      <c r="H4" s="13"/>
      <c r="I4" s="13"/>
      <c r="J4" s="13"/>
    </row>
    <row r="5" customFormat="false" ht="15" hidden="false" customHeight="false" outlineLevel="0" collapsed="false">
      <c r="A5" s="15" t="s">
        <v>207</v>
      </c>
      <c r="B5" s="16" t="s">
        <v>208</v>
      </c>
      <c r="C5" s="16" t="s">
        <v>45</v>
      </c>
      <c r="D5" s="16" t="s">
        <v>133</v>
      </c>
      <c r="E5" s="16" t="s">
        <v>205</v>
      </c>
      <c r="F5" s="20" t="s">
        <v>761</v>
      </c>
      <c r="G5" s="16"/>
      <c r="H5" s="16"/>
      <c r="I5" s="16"/>
      <c r="J5" s="16"/>
    </row>
    <row r="6" customFormat="false" ht="15" hidden="false" customHeight="false" outlineLevel="0" collapsed="false">
      <c r="A6" s="12" t="s">
        <v>210</v>
      </c>
      <c r="B6" s="13" t="s">
        <v>211</v>
      </c>
      <c r="C6" s="13" t="s">
        <v>46</v>
      </c>
      <c r="D6" s="13" t="s">
        <v>133</v>
      </c>
      <c r="E6" s="13" t="s">
        <v>205</v>
      </c>
      <c r="F6" s="20" t="s">
        <v>761</v>
      </c>
      <c r="G6" s="13"/>
      <c r="H6" s="13"/>
      <c r="I6" s="13"/>
      <c r="J6" s="13"/>
    </row>
    <row r="7" customFormat="false" ht="15" hidden="false" customHeight="false" outlineLevel="0" collapsed="false">
      <c r="A7" s="15" t="s">
        <v>214</v>
      </c>
      <c r="B7" s="16" t="s">
        <v>215</v>
      </c>
      <c r="C7" s="16" t="s">
        <v>46</v>
      </c>
      <c r="D7" s="16" t="s">
        <v>133</v>
      </c>
      <c r="E7" s="16" t="s">
        <v>216</v>
      </c>
      <c r="F7" s="20" t="s">
        <v>761</v>
      </c>
      <c r="G7" s="16"/>
      <c r="H7" s="16"/>
      <c r="I7" s="16"/>
      <c r="J7" s="16"/>
    </row>
    <row r="8" customFormat="false" ht="15" hidden="false" customHeight="false" outlineLevel="0" collapsed="false">
      <c r="A8" s="12" t="s">
        <v>219</v>
      </c>
      <c r="B8" s="13" t="s">
        <v>220</v>
      </c>
      <c r="C8" s="13" t="s">
        <v>43</v>
      </c>
      <c r="D8" s="13" t="s">
        <v>133</v>
      </c>
      <c r="E8" s="13" t="s">
        <v>197</v>
      </c>
      <c r="F8" s="20" t="s">
        <v>761</v>
      </c>
      <c r="G8" s="13"/>
      <c r="H8" s="13"/>
      <c r="I8" s="13"/>
      <c r="J8" s="13"/>
    </row>
    <row r="9" customFormat="false" ht="15" hidden="false" customHeight="false" outlineLevel="0" collapsed="false">
      <c r="A9" s="15" t="s">
        <v>222</v>
      </c>
      <c r="B9" s="16" t="s">
        <v>223</v>
      </c>
      <c r="C9" s="16" t="s">
        <v>46</v>
      </c>
      <c r="D9" s="16" t="s">
        <v>133</v>
      </c>
      <c r="E9" s="16" t="s">
        <v>216</v>
      </c>
      <c r="F9" s="20" t="s">
        <v>761</v>
      </c>
      <c r="G9" s="16"/>
      <c r="H9" s="16"/>
      <c r="I9" s="16"/>
      <c r="J9" s="16"/>
    </row>
    <row r="10" customFormat="false" ht="15" hidden="false" customHeight="false" outlineLevel="0" collapsed="false">
      <c r="A10" s="12" t="s">
        <v>226</v>
      </c>
      <c r="B10" s="13" t="s">
        <v>227</v>
      </c>
      <c r="C10" s="13" t="s">
        <v>46</v>
      </c>
      <c r="D10" s="13" t="s">
        <v>133</v>
      </c>
      <c r="E10" s="13" t="s">
        <v>216</v>
      </c>
      <c r="F10" s="20" t="s">
        <v>761</v>
      </c>
      <c r="G10" s="13"/>
      <c r="H10" s="13"/>
      <c r="I10" s="13"/>
      <c r="J10" s="13"/>
    </row>
    <row r="11" customFormat="false" ht="15" hidden="false" customHeight="false" outlineLevel="0" collapsed="false">
      <c r="A11" s="15" t="s">
        <v>229</v>
      </c>
      <c r="B11" s="16" t="s">
        <v>231</v>
      </c>
      <c r="C11" s="16" t="s">
        <v>44</v>
      </c>
      <c r="D11" s="16" t="s">
        <v>230</v>
      </c>
      <c r="E11" s="16" t="s">
        <v>205</v>
      </c>
      <c r="F11" s="20" t="s">
        <v>761</v>
      </c>
      <c r="G11" s="16"/>
      <c r="H11" s="16"/>
      <c r="I11" s="16"/>
      <c r="J11" s="16"/>
    </row>
    <row r="12" customFormat="false" ht="15" hidden="false" customHeight="false" outlineLevel="0" collapsed="false">
      <c r="A12" s="12" t="s">
        <v>233</v>
      </c>
      <c r="B12" s="13" t="s">
        <v>234</v>
      </c>
      <c r="C12" s="13" t="s">
        <v>45</v>
      </c>
      <c r="D12" s="13" t="s">
        <v>230</v>
      </c>
      <c r="E12" s="13" t="s">
        <v>205</v>
      </c>
      <c r="F12" s="20" t="s">
        <v>761</v>
      </c>
      <c r="G12" s="13"/>
      <c r="H12" s="13"/>
      <c r="I12" s="13"/>
      <c r="J12" s="13"/>
    </row>
    <row r="13" customFormat="false" ht="15" hidden="false" customHeight="false" outlineLevel="0" collapsed="false">
      <c r="A13" s="15" t="s">
        <v>236</v>
      </c>
      <c r="B13" s="16" t="s">
        <v>237</v>
      </c>
      <c r="C13" s="16" t="s">
        <v>46</v>
      </c>
      <c r="D13" s="16" t="s">
        <v>230</v>
      </c>
      <c r="E13" s="16" t="s">
        <v>205</v>
      </c>
      <c r="F13" s="20" t="s">
        <v>761</v>
      </c>
      <c r="G13" s="16"/>
      <c r="H13" s="16"/>
      <c r="I13" s="16"/>
      <c r="J13" s="16"/>
    </row>
    <row r="14" customFormat="false" ht="15" hidden="false" customHeight="false" outlineLevel="0" collapsed="false">
      <c r="A14" s="12" t="s">
        <v>239</v>
      </c>
      <c r="B14" s="13" t="s">
        <v>240</v>
      </c>
      <c r="C14" s="13" t="s">
        <v>44</v>
      </c>
      <c r="D14" s="13" t="s">
        <v>230</v>
      </c>
      <c r="E14" s="13" t="s">
        <v>205</v>
      </c>
      <c r="F14" s="20" t="s">
        <v>761</v>
      </c>
      <c r="G14" s="13"/>
      <c r="H14" s="13"/>
      <c r="I14" s="13"/>
      <c r="J14" s="13"/>
    </row>
    <row r="15" customFormat="false" ht="15" hidden="false" customHeight="false" outlineLevel="0" collapsed="false">
      <c r="A15" s="15" t="s">
        <v>242</v>
      </c>
      <c r="B15" s="16" t="s">
        <v>244</v>
      </c>
      <c r="C15" s="16" t="s">
        <v>45</v>
      </c>
      <c r="D15" s="16" t="s">
        <v>243</v>
      </c>
      <c r="E15" s="16" t="s">
        <v>205</v>
      </c>
      <c r="F15" s="20" t="s">
        <v>761</v>
      </c>
      <c r="G15" s="16"/>
      <c r="H15" s="16"/>
      <c r="I15" s="16"/>
      <c r="J15" s="16"/>
    </row>
    <row r="16" customFormat="false" ht="15" hidden="false" customHeight="false" outlineLevel="0" collapsed="false">
      <c r="A16" s="12" t="s">
        <v>246</v>
      </c>
      <c r="B16" s="13" t="s">
        <v>247</v>
      </c>
      <c r="C16" s="13" t="s">
        <v>43</v>
      </c>
      <c r="D16" s="13" t="s">
        <v>243</v>
      </c>
      <c r="E16" s="13" t="s">
        <v>205</v>
      </c>
      <c r="F16" s="20" t="s">
        <v>761</v>
      </c>
      <c r="G16" s="13"/>
      <c r="H16" s="13"/>
      <c r="I16" s="13"/>
      <c r="J16" s="13"/>
    </row>
    <row r="17" customFormat="false" ht="15" hidden="false" customHeight="false" outlineLevel="0" collapsed="false">
      <c r="A17" s="15" t="s">
        <v>250</v>
      </c>
      <c r="B17" s="16" t="s">
        <v>251</v>
      </c>
      <c r="C17" s="16" t="s">
        <v>45</v>
      </c>
      <c r="D17" s="16" t="s">
        <v>243</v>
      </c>
      <c r="E17" s="16" t="s">
        <v>205</v>
      </c>
      <c r="F17" s="20" t="s">
        <v>761</v>
      </c>
      <c r="G17" s="16"/>
      <c r="H17" s="16"/>
      <c r="I17" s="16"/>
      <c r="J17" s="16"/>
    </row>
    <row r="18" customFormat="false" ht="15" hidden="false" customHeight="false" outlineLevel="0" collapsed="false">
      <c r="A18" s="12" t="s">
        <v>253</v>
      </c>
      <c r="B18" s="13" t="s">
        <v>254</v>
      </c>
      <c r="C18" s="13" t="s">
        <v>46</v>
      </c>
      <c r="D18" s="13" t="s">
        <v>243</v>
      </c>
      <c r="E18" s="13" t="s">
        <v>205</v>
      </c>
      <c r="F18" s="20" t="s">
        <v>761</v>
      </c>
      <c r="G18" s="13"/>
      <c r="H18" s="13"/>
      <c r="I18" s="13"/>
      <c r="J18" s="13"/>
    </row>
    <row r="19" customFormat="false" ht="15" hidden="false" customHeight="false" outlineLevel="0" collapsed="false">
      <c r="A19" s="15" t="s">
        <v>256</v>
      </c>
      <c r="B19" s="16" t="s">
        <v>257</v>
      </c>
      <c r="C19" s="16" t="s">
        <v>46</v>
      </c>
      <c r="D19" s="16" t="s">
        <v>243</v>
      </c>
      <c r="E19" s="16" t="s">
        <v>205</v>
      </c>
      <c r="F19" s="20" t="s">
        <v>761</v>
      </c>
      <c r="G19" s="16"/>
      <c r="H19" s="16"/>
      <c r="I19" s="16"/>
      <c r="J19" s="16"/>
    </row>
    <row r="20" customFormat="false" ht="15" hidden="false" customHeight="false" outlineLevel="0" collapsed="false">
      <c r="A20" s="12" t="s">
        <v>259</v>
      </c>
      <c r="B20" s="13" t="s">
        <v>260</v>
      </c>
      <c r="C20" s="13" t="s">
        <v>46</v>
      </c>
      <c r="D20" s="13" t="s">
        <v>243</v>
      </c>
      <c r="E20" s="13" t="s">
        <v>216</v>
      </c>
      <c r="F20" s="20" t="s">
        <v>761</v>
      </c>
      <c r="G20" s="13"/>
      <c r="H20" s="13"/>
      <c r="I20" s="13"/>
      <c r="J20" s="13"/>
    </row>
    <row r="21" customFormat="false" ht="15" hidden="false" customHeight="false" outlineLevel="0" collapsed="false">
      <c r="A21" s="15" t="s">
        <v>262</v>
      </c>
      <c r="B21" s="16" t="s">
        <v>263</v>
      </c>
      <c r="C21" s="16" t="s">
        <v>46</v>
      </c>
      <c r="D21" s="16" t="s">
        <v>243</v>
      </c>
      <c r="E21" s="16" t="s">
        <v>216</v>
      </c>
      <c r="F21" s="20" t="s">
        <v>761</v>
      </c>
      <c r="G21" s="16"/>
      <c r="H21" s="16"/>
      <c r="I21" s="16"/>
      <c r="J21" s="16"/>
    </row>
    <row r="22" customFormat="false" ht="15" hidden="false" customHeight="false" outlineLevel="0" collapsed="false">
      <c r="A22" s="12" t="s">
        <v>266</v>
      </c>
      <c r="B22" s="13" t="s">
        <v>268</v>
      </c>
      <c r="C22" s="13" t="s">
        <v>43</v>
      </c>
      <c r="D22" s="13" t="s">
        <v>267</v>
      </c>
      <c r="E22" s="13" t="s">
        <v>197</v>
      </c>
      <c r="F22" s="20" t="s">
        <v>761</v>
      </c>
      <c r="G22" s="13"/>
      <c r="H22" s="13"/>
      <c r="I22" s="13"/>
      <c r="J22" s="13"/>
    </row>
    <row r="23" customFormat="false" ht="15" hidden="false" customHeight="false" outlineLevel="0" collapsed="false">
      <c r="A23" s="15" t="s">
        <v>271</v>
      </c>
      <c r="B23" s="16" t="s">
        <v>272</v>
      </c>
      <c r="C23" s="16" t="s">
        <v>43</v>
      </c>
      <c r="D23" s="16" t="s">
        <v>267</v>
      </c>
      <c r="E23" s="16" t="s">
        <v>197</v>
      </c>
      <c r="F23" s="20" t="s">
        <v>761</v>
      </c>
      <c r="G23" s="16"/>
      <c r="H23" s="16"/>
      <c r="I23" s="16"/>
      <c r="J23" s="16"/>
    </row>
    <row r="24" customFormat="false" ht="15" hidden="false" customHeight="false" outlineLevel="0" collapsed="false">
      <c r="A24" s="12" t="s">
        <v>274</v>
      </c>
      <c r="B24" s="13" t="s">
        <v>275</v>
      </c>
      <c r="C24" s="13" t="s">
        <v>43</v>
      </c>
      <c r="D24" s="13" t="s">
        <v>267</v>
      </c>
      <c r="E24" s="13" t="s">
        <v>205</v>
      </c>
      <c r="F24" s="20" t="s">
        <v>761</v>
      </c>
      <c r="G24" s="13"/>
      <c r="H24" s="13"/>
      <c r="I24" s="13"/>
      <c r="J24" s="13"/>
    </row>
    <row r="25" customFormat="false" ht="23.85" hidden="false" customHeight="false" outlineLevel="0" collapsed="false">
      <c r="A25" s="15" t="s">
        <v>277</v>
      </c>
      <c r="B25" s="16" t="s">
        <v>278</v>
      </c>
      <c r="C25" s="16" t="s">
        <v>44</v>
      </c>
      <c r="D25" s="16" t="s">
        <v>267</v>
      </c>
      <c r="E25" s="16" t="s">
        <v>205</v>
      </c>
      <c r="F25" s="20" t="s">
        <v>761</v>
      </c>
      <c r="G25" s="16"/>
      <c r="H25" s="16"/>
      <c r="I25" s="16"/>
      <c r="J25" s="16"/>
    </row>
    <row r="26" customFormat="false" ht="15" hidden="false" customHeight="false" outlineLevel="0" collapsed="false">
      <c r="A26" s="12" t="s">
        <v>280</v>
      </c>
      <c r="B26" s="13" t="s">
        <v>281</v>
      </c>
      <c r="C26" s="13" t="s">
        <v>43</v>
      </c>
      <c r="D26" s="13" t="s">
        <v>267</v>
      </c>
      <c r="E26" s="13" t="s">
        <v>205</v>
      </c>
      <c r="F26" s="20" t="s">
        <v>761</v>
      </c>
      <c r="G26" s="13"/>
      <c r="H26" s="13"/>
      <c r="I26" s="13"/>
      <c r="J26" s="13"/>
    </row>
    <row r="27" customFormat="false" ht="15" hidden="false" customHeight="false" outlineLevel="0" collapsed="false">
      <c r="A27" s="15" t="s">
        <v>284</v>
      </c>
      <c r="B27" s="16" t="s">
        <v>285</v>
      </c>
      <c r="C27" s="16" t="s">
        <v>45</v>
      </c>
      <c r="D27" s="16" t="s">
        <v>267</v>
      </c>
      <c r="E27" s="16" t="s">
        <v>216</v>
      </c>
      <c r="F27" s="20" t="s">
        <v>761</v>
      </c>
      <c r="G27" s="16"/>
      <c r="H27" s="16"/>
      <c r="I27" s="16"/>
      <c r="J27" s="16"/>
    </row>
    <row r="28" customFormat="false" ht="15" hidden="false" customHeight="false" outlineLevel="0" collapsed="false">
      <c r="A28" s="12" t="s">
        <v>287</v>
      </c>
      <c r="B28" s="13" t="s">
        <v>288</v>
      </c>
      <c r="C28" s="13" t="s">
        <v>45</v>
      </c>
      <c r="D28" s="13" t="s">
        <v>267</v>
      </c>
      <c r="E28" s="13" t="s">
        <v>216</v>
      </c>
      <c r="F28" s="20" t="s">
        <v>761</v>
      </c>
      <c r="G28" s="13"/>
      <c r="H28" s="13"/>
      <c r="I28" s="13"/>
      <c r="J28" s="13"/>
    </row>
    <row r="29" customFormat="false" ht="15" hidden="false" customHeight="false" outlineLevel="0" collapsed="false">
      <c r="A29" s="15" t="s">
        <v>291</v>
      </c>
      <c r="B29" s="16" t="s">
        <v>292</v>
      </c>
      <c r="C29" s="16" t="s">
        <v>45</v>
      </c>
      <c r="D29" s="16" t="s">
        <v>267</v>
      </c>
      <c r="E29" s="16" t="s">
        <v>205</v>
      </c>
      <c r="F29" s="20" t="s">
        <v>761</v>
      </c>
      <c r="G29" s="16"/>
      <c r="H29" s="16"/>
      <c r="I29" s="16"/>
      <c r="J29" s="16"/>
    </row>
    <row r="30" customFormat="false" ht="23.85" hidden="false" customHeight="false" outlineLevel="0" collapsed="false">
      <c r="A30" s="12" t="s">
        <v>294</v>
      </c>
      <c r="B30" s="13" t="s">
        <v>295</v>
      </c>
      <c r="C30" s="13" t="s">
        <v>45</v>
      </c>
      <c r="D30" s="13" t="s">
        <v>267</v>
      </c>
      <c r="E30" s="13" t="s">
        <v>205</v>
      </c>
      <c r="F30" s="20" t="s">
        <v>761</v>
      </c>
      <c r="G30" s="13"/>
      <c r="H30" s="13"/>
      <c r="I30" s="13"/>
      <c r="J30" s="13"/>
    </row>
    <row r="31" customFormat="false" ht="15" hidden="false" customHeight="false" outlineLevel="0" collapsed="false">
      <c r="A31" s="15" t="s">
        <v>297</v>
      </c>
      <c r="B31" s="16" t="s">
        <v>299</v>
      </c>
      <c r="C31" s="16" t="s">
        <v>45</v>
      </c>
      <c r="D31" s="16" t="s">
        <v>298</v>
      </c>
      <c r="E31" s="16" t="s">
        <v>205</v>
      </c>
      <c r="F31" s="20" t="s">
        <v>761</v>
      </c>
      <c r="G31" s="16"/>
      <c r="H31" s="16"/>
      <c r="I31" s="16"/>
      <c r="J31" s="16"/>
    </row>
    <row r="32" customFormat="false" ht="15" hidden="false" customHeight="false" outlineLevel="0" collapsed="false">
      <c r="A32" s="12" t="s">
        <v>301</v>
      </c>
      <c r="B32" s="13" t="s">
        <v>302</v>
      </c>
      <c r="C32" s="13" t="s">
        <v>44</v>
      </c>
      <c r="D32" s="13" t="s">
        <v>298</v>
      </c>
      <c r="E32" s="13" t="s">
        <v>197</v>
      </c>
      <c r="F32" s="20" t="s">
        <v>761</v>
      </c>
      <c r="G32" s="13"/>
      <c r="H32" s="13"/>
      <c r="I32" s="13"/>
      <c r="J32" s="13"/>
    </row>
    <row r="33" customFormat="false" ht="15" hidden="false" customHeight="false" outlineLevel="0" collapsed="false">
      <c r="A33" s="15" t="s">
        <v>304</v>
      </c>
      <c r="B33" s="16" t="s">
        <v>305</v>
      </c>
      <c r="C33" s="16" t="s">
        <v>43</v>
      </c>
      <c r="D33" s="16" t="s">
        <v>298</v>
      </c>
      <c r="E33" s="16" t="s">
        <v>205</v>
      </c>
      <c r="F33" s="20" t="s">
        <v>761</v>
      </c>
      <c r="G33" s="16"/>
      <c r="H33" s="16"/>
      <c r="I33" s="16"/>
      <c r="J33" s="16"/>
    </row>
    <row r="34" customFormat="false" ht="15" hidden="false" customHeight="false" outlineLevel="0" collapsed="false">
      <c r="A34" s="12" t="s">
        <v>307</v>
      </c>
      <c r="B34" s="13" t="s">
        <v>308</v>
      </c>
      <c r="C34" s="13" t="s">
        <v>43</v>
      </c>
      <c r="D34" s="13" t="s">
        <v>298</v>
      </c>
      <c r="E34" s="13" t="s">
        <v>205</v>
      </c>
      <c r="F34" s="20" t="s">
        <v>761</v>
      </c>
      <c r="G34" s="13"/>
      <c r="H34" s="13"/>
      <c r="I34" s="13"/>
      <c r="J34" s="13"/>
    </row>
    <row r="35" customFormat="false" ht="15" hidden="false" customHeight="false" outlineLevel="0" collapsed="false">
      <c r="A35" s="15" t="s">
        <v>311</v>
      </c>
      <c r="B35" s="16" t="s">
        <v>312</v>
      </c>
      <c r="C35" s="16" t="s">
        <v>46</v>
      </c>
      <c r="D35" s="16" t="s">
        <v>298</v>
      </c>
      <c r="E35" s="16" t="s">
        <v>205</v>
      </c>
      <c r="F35" s="20" t="s">
        <v>761</v>
      </c>
      <c r="G35" s="16"/>
      <c r="H35" s="16"/>
      <c r="I35" s="16"/>
      <c r="J35" s="16"/>
    </row>
    <row r="36" customFormat="false" ht="15" hidden="false" customHeight="false" outlineLevel="0" collapsed="false">
      <c r="A36" s="12" t="s">
        <v>314</v>
      </c>
      <c r="B36" s="13" t="s">
        <v>315</v>
      </c>
      <c r="C36" s="13" t="s">
        <v>45</v>
      </c>
      <c r="D36" s="13" t="s">
        <v>298</v>
      </c>
      <c r="E36" s="13" t="s">
        <v>205</v>
      </c>
      <c r="F36" s="20" t="s">
        <v>761</v>
      </c>
      <c r="G36" s="13"/>
      <c r="H36" s="13"/>
      <c r="I36" s="13"/>
      <c r="J36" s="13"/>
    </row>
    <row r="37" customFormat="false" ht="15" hidden="false" customHeight="false" outlineLevel="0" collapsed="false">
      <c r="A37" s="15" t="s">
        <v>317</v>
      </c>
      <c r="B37" s="16" t="s">
        <v>319</v>
      </c>
      <c r="C37" s="16" t="s">
        <v>44</v>
      </c>
      <c r="D37" s="16" t="s">
        <v>318</v>
      </c>
      <c r="E37" s="16" t="s">
        <v>205</v>
      </c>
      <c r="F37" s="20" t="s">
        <v>761</v>
      </c>
      <c r="G37" s="16"/>
      <c r="H37" s="16"/>
      <c r="I37" s="16"/>
      <c r="J37" s="16"/>
    </row>
    <row r="38" customFormat="false" ht="15" hidden="false" customHeight="false" outlineLevel="0" collapsed="false">
      <c r="A38" s="12" t="s">
        <v>321</v>
      </c>
      <c r="B38" s="13" t="s">
        <v>322</v>
      </c>
      <c r="C38" s="13" t="s">
        <v>46</v>
      </c>
      <c r="D38" s="13" t="s">
        <v>318</v>
      </c>
      <c r="E38" s="13" t="s">
        <v>216</v>
      </c>
      <c r="F38" s="20" t="s">
        <v>761</v>
      </c>
      <c r="G38" s="13"/>
      <c r="H38" s="13"/>
      <c r="I38" s="13"/>
      <c r="J38" s="13"/>
    </row>
    <row r="39" customFormat="false" ht="15" hidden="false" customHeight="false" outlineLevel="0" collapsed="false">
      <c r="A39" s="15" t="s">
        <v>324</v>
      </c>
      <c r="B39" s="16" t="s">
        <v>326</v>
      </c>
      <c r="C39" s="16" t="s">
        <v>44</v>
      </c>
      <c r="D39" s="16" t="s">
        <v>325</v>
      </c>
      <c r="E39" s="16" t="s">
        <v>205</v>
      </c>
      <c r="F39" s="20" t="s">
        <v>761</v>
      </c>
      <c r="G39" s="16"/>
      <c r="H39" s="16"/>
      <c r="I39" s="16"/>
      <c r="J39" s="16"/>
    </row>
    <row r="40" customFormat="false" ht="15" hidden="false" customHeight="false" outlineLevel="0" collapsed="false">
      <c r="A40" s="12" t="s">
        <v>328</v>
      </c>
      <c r="B40" s="13" t="s">
        <v>329</v>
      </c>
      <c r="C40" s="13" t="s">
        <v>43</v>
      </c>
      <c r="D40" s="13" t="s">
        <v>325</v>
      </c>
      <c r="E40" s="13" t="s">
        <v>197</v>
      </c>
      <c r="F40" s="20" t="s">
        <v>761</v>
      </c>
      <c r="G40" s="13"/>
      <c r="H40" s="13"/>
      <c r="I40" s="13"/>
      <c r="J40" s="13"/>
    </row>
    <row r="41" customFormat="false" ht="15" hidden="false" customHeight="false" outlineLevel="0" collapsed="false">
      <c r="A41" s="15" t="s">
        <v>332</v>
      </c>
      <c r="B41" s="16" t="s">
        <v>333</v>
      </c>
      <c r="C41" s="16" t="s">
        <v>44</v>
      </c>
      <c r="D41" s="16" t="s">
        <v>325</v>
      </c>
      <c r="E41" s="16" t="s">
        <v>205</v>
      </c>
      <c r="F41" s="20" t="s">
        <v>761</v>
      </c>
      <c r="G41" s="16"/>
      <c r="H41" s="16"/>
      <c r="I41" s="16"/>
      <c r="J41" s="16"/>
    </row>
    <row r="42" customFormat="false" ht="15" hidden="false" customHeight="false" outlineLevel="0" collapsed="false">
      <c r="A42" s="12" t="s">
        <v>335</v>
      </c>
      <c r="B42" s="13" t="s">
        <v>336</v>
      </c>
      <c r="C42" s="13" t="s">
        <v>45</v>
      </c>
      <c r="D42" s="13" t="s">
        <v>325</v>
      </c>
      <c r="E42" s="13" t="s">
        <v>205</v>
      </c>
      <c r="F42" s="20" t="s">
        <v>761</v>
      </c>
      <c r="G42" s="13"/>
      <c r="H42" s="13"/>
      <c r="I42" s="13"/>
      <c r="J42" s="13"/>
    </row>
    <row r="43" customFormat="false" ht="15" hidden="false" customHeight="false" outlineLevel="0" collapsed="false">
      <c r="A43" s="15" t="s">
        <v>338</v>
      </c>
      <c r="B43" s="16" t="s">
        <v>339</v>
      </c>
      <c r="C43" s="16" t="s">
        <v>45</v>
      </c>
      <c r="D43" s="16" t="s">
        <v>325</v>
      </c>
      <c r="E43" s="16" t="s">
        <v>216</v>
      </c>
      <c r="F43" s="20" t="s">
        <v>761</v>
      </c>
      <c r="G43" s="16"/>
      <c r="H43" s="16"/>
      <c r="I43" s="16"/>
      <c r="J43" s="16"/>
    </row>
    <row r="44" customFormat="false" ht="15" hidden="false" customHeight="false" outlineLevel="0" collapsed="false">
      <c r="A44" s="12" t="s">
        <v>342</v>
      </c>
      <c r="B44" s="13" t="s">
        <v>344</v>
      </c>
      <c r="C44" s="13" t="s">
        <v>44</v>
      </c>
      <c r="D44" s="13" t="s">
        <v>343</v>
      </c>
      <c r="E44" s="13" t="s">
        <v>205</v>
      </c>
      <c r="F44" s="20" t="s">
        <v>761</v>
      </c>
      <c r="G44" s="13"/>
      <c r="H44" s="13"/>
      <c r="I44" s="13"/>
      <c r="J44" s="13"/>
    </row>
    <row r="45" customFormat="false" ht="15" hidden="false" customHeight="false" outlineLevel="0" collapsed="false">
      <c r="A45" s="15" t="s">
        <v>346</v>
      </c>
      <c r="B45" s="16" t="s">
        <v>347</v>
      </c>
      <c r="C45" s="16" t="s">
        <v>45</v>
      </c>
      <c r="D45" s="16" t="s">
        <v>343</v>
      </c>
      <c r="E45" s="16" t="s">
        <v>216</v>
      </c>
      <c r="F45" s="20" t="s">
        <v>761</v>
      </c>
      <c r="G45" s="16"/>
      <c r="H45" s="16"/>
      <c r="I45" s="16"/>
      <c r="J45" s="16"/>
    </row>
    <row r="46" customFormat="false" ht="15" hidden="false" customHeight="false" outlineLevel="0" collapsed="false">
      <c r="A46" s="12" t="s">
        <v>349</v>
      </c>
      <c r="B46" s="13" t="s">
        <v>350</v>
      </c>
      <c r="C46" s="13" t="s">
        <v>46</v>
      </c>
      <c r="D46" s="13" t="s">
        <v>343</v>
      </c>
      <c r="E46" s="13" t="s">
        <v>216</v>
      </c>
      <c r="F46" s="20" t="s">
        <v>761</v>
      </c>
      <c r="G46" s="13"/>
      <c r="H46" s="13"/>
      <c r="I46" s="13"/>
      <c r="J46" s="13"/>
    </row>
    <row r="47" customFormat="false" ht="15" hidden="false" customHeight="false" outlineLevel="0" collapsed="false">
      <c r="A47" s="15" t="s">
        <v>352</v>
      </c>
      <c r="B47" s="16" t="s">
        <v>353</v>
      </c>
      <c r="C47" s="16" t="s">
        <v>46</v>
      </c>
      <c r="D47" s="16" t="s">
        <v>343</v>
      </c>
      <c r="E47" s="16" t="s">
        <v>216</v>
      </c>
      <c r="F47" s="20" t="s">
        <v>761</v>
      </c>
      <c r="G47" s="16"/>
      <c r="H47" s="16"/>
      <c r="I47" s="16"/>
      <c r="J47" s="16"/>
    </row>
    <row r="48" customFormat="false" ht="15" hidden="false" customHeight="false" outlineLevel="0" collapsed="false">
      <c r="A48" s="12" t="s">
        <v>355</v>
      </c>
      <c r="B48" s="13" t="s">
        <v>356</v>
      </c>
      <c r="C48" s="13" t="s">
        <v>46</v>
      </c>
      <c r="D48" s="13" t="s">
        <v>343</v>
      </c>
      <c r="E48" s="13" t="s">
        <v>216</v>
      </c>
      <c r="F48" s="20" t="s">
        <v>761</v>
      </c>
      <c r="G48" s="13"/>
      <c r="H48" s="13"/>
      <c r="I48" s="13"/>
      <c r="J48" s="13"/>
    </row>
    <row r="49" customFormat="false" ht="15" hidden="false" customHeight="false" outlineLevel="0" collapsed="false">
      <c r="A49" s="15" t="s">
        <v>358</v>
      </c>
      <c r="B49" s="16" t="s">
        <v>359</v>
      </c>
      <c r="C49" s="16" t="s">
        <v>46</v>
      </c>
      <c r="D49" s="16" t="s">
        <v>343</v>
      </c>
      <c r="E49" s="16" t="s">
        <v>216</v>
      </c>
      <c r="F49" s="20" t="s">
        <v>761</v>
      </c>
      <c r="G49" s="16"/>
      <c r="H49" s="16"/>
      <c r="I49" s="16"/>
      <c r="J49" s="16"/>
    </row>
    <row r="50" customFormat="false" ht="15" hidden="false" customHeight="false" outlineLevel="0" collapsed="false">
      <c r="A50" s="12" t="s">
        <v>361</v>
      </c>
      <c r="B50" s="13" t="s">
        <v>362</v>
      </c>
      <c r="C50" s="13" t="s">
        <v>44</v>
      </c>
      <c r="D50" s="13" t="s">
        <v>343</v>
      </c>
      <c r="E50" s="13" t="s">
        <v>205</v>
      </c>
      <c r="F50" s="20" t="s">
        <v>761</v>
      </c>
      <c r="G50" s="13"/>
      <c r="H50" s="13"/>
      <c r="I50" s="13"/>
      <c r="J50" s="13"/>
    </row>
    <row r="51" customFormat="false" ht="15" hidden="false" customHeight="false" outlineLevel="0" collapsed="false">
      <c r="A51" s="15" t="s">
        <v>364</v>
      </c>
      <c r="B51" s="16" t="s">
        <v>365</v>
      </c>
      <c r="C51" s="16" t="s">
        <v>45</v>
      </c>
      <c r="D51" s="16" t="s">
        <v>343</v>
      </c>
      <c r="E51" s="16" t="s">
        <v>216</v>
      </c>
      <c r="F51" s="20" t="s">
        <v>761</v>
      </c>
      <c r="G51" s="16"/>
      <c r="H51" s="16"/>
      <c r="I51" s="16"/>
      <c r="J51" s="16"/>
    </row>
    <row r="52" customFormat="false" ht="15" hidden="false" customHeight="false" outlineLevel="0" collapsed="false">
      <c r="A52" s="12" t="s">
        <v>367</v>
      </c>
      <c r="B52" s="13" t="s">
        <v>368</v>
      </c>
      <c r="C52" s="13" t="s">
        <v>46</v>
      </c>
      <c r="D52" s="13" t="s">
        <v>343</v>
      </c>
      <c r="E52" s="13" t="s">
        <v>216</v>
      </c>
      <c r="F52" s="20" t="s">
        <v>761</v>
      </c>
      <c r="G52" s="13"/>
      <c r="H52" s="13"/>
      <c r="I52" s="13"/>
      <c r="J52" s="13"/>
    </row>
    <row r="53" customFormat="false" ht="23.85" hidden="false" customHeight="false" outlineLevel="0" collapsed="false">
      <c r="A53" s="15" t="s">
        <v>371</v>
      </c>
      <c r="B53" s="16" t="s">
        <v>372</v>
      </c>
      <c r="C53" s="16" t="s">
        <v>45</v>
      </c>
      <c r="D53" s="16" t="s">
        <v>343</v>
      </c>
      <c r="E53" s="16" t="s">
        <v>216</v>
      </c>
      <c r="F53" s="20" t="s">
        <v>761</v>
      </c>
      <c r="G53" s="16"/>
      <c r="H53" s="16"/>
      <c r="I53" s="16"/>
      <c r="J53" s="16"/>
    </row>
    <row r="54" customFormat="false" ht="15" hidden="false" customHeight="false" outlineLevel="0" collapsed="false">
      <c r="A54" s="12" t="s">
        <v>375</v>
      </c>
      <c r="B54" s="13" t="s">
        <v>377</v>
      </c>
      <c r="C54" s="13" t="s">
        <v>43</v>
      </c>
      <c r="D54" s="13" t="s">
        <v>376</v>
      </c>
      <c r="E54" s="13" t="s">
        <v>197</v>
      </c>
      <c r="F54" s="20" t="s">
        <v>761</v>
      </c>
      <c r="G54" s="13"/>
      <c r="H54" s="13"/>
      <c r="I54" s="13"/>
      <c r="J54" s="13"/>
    </row>
    <row r="55" customFormat="false" ht="15" hidden="false" customHeight="false" outlineLevel="0" collapsed="false">
      <c r="A55" s="15" t="s">
        <v>379</v>
      </c>
      <c r="B55" s="16" t="s">
        <v>380</v>
      </c>
      <c r="C55" s="16" t="s">
        <v>43</v>
      </c>
      <c r="D55" s="16" t="s">
        <v>376</v>
      </c>
      <c r="E55" s="16" t="s">
        <v>205</v>
      </c>
      <c r="F55" s="20" t="s">
        <v>761</v>
      </c>
      <c r="G55" s="16"/>
      <c r="H55" s="16"/>
      <c r="I55" s="16"/>
      <c r="J55" s="16"/>
    </row>
    <row r="56" customFormat="false" ht="15" hidden="false" customHeight="false" outlineLevel="0" collapsed="false">
      <c r="A56" s="12" t="s">
        <v>382</v>
      </c>
      <c r="B56" s="13" t="s">
        <v>383</v>
      </c>
      <c r="C56" s="13" t="s">
        <v>43</v>
      </c>
      <c r="D56" s="13" t="s">
        <v>376</v>
      </c>
      <c r="E56" s="13" t="s">
        <v>205</v>
      </c>
      <c r="F56" s="20" t="s">
        <v>761</v>
      </c>
      <c r="G56" s="13"/>
      <c r="H56" s="13"/>
      <c r="I56" s="13"/>
      <c r="J56" s="13"/>
    </row>
    <row r="57" customFormat="false" ht="15" hidden="false" customHeight="false" outlineLevel="0" collapsed="false">
      <c r="A57" s="15" t="s">
        <v>385</v>
      </c>
      <c r="B57" s="16" t="s">
        <v>386</v>
      </c>
      <c r="C57" s="16" t="s">
        <v>43</v>
      </c>
      <c r="D57" s="16" t="s">
        <v>376</v>
      </c>
      <c r="E57" s="16" t="s">
        <v>205</v>
      </c>
      <c r="F57" s="20" t="s">
        <v>761</v>
      </c>
      <c r="G57" s="16"/>
      <c r="H57" s="16"/>
      <c r="I57" s="16"/>
      <c r="J57" s="16"/>
    </row>
    <row r="58" customFormat="false" ht="15" hidden="false" customHeight="false" outlineLevel="0" collapsed="false">
      <c r="A58" s="12" t="s">
        <v>388</v>
      </c>
      <c r="B58" s="13" t="s">
        <v>389</v>
      </c>
      <c r="C58" s="13" t="s">
        <v>43</v>
      </c>
      <c r="D58" s="13" t="s">
        <v>376</v>
      </c>
      <c r="E58" s="13" t="s">
        <v>205</v>
      </c>
      <c r="F58" s="20" t="s">
        <v>761</v>
      </c>
      <c r="G58" s="13"/>
      <c r="H58" s="13"/>
      <c r="I58" s="13"/>
      <c r="J58" s="13"/>
    </row>
    <row r="59" customFormat="false" ht="15" hidden="false" customHeight="false" outlineLevel="0" collapsed="false">
      <c r="A59" s="15" t="s">
        <v>391</v>
      </c>
      <c r="B59" s="16" t="s">
        <v>392</v>
      </c>
      <c r="C59" s="16" t="s">
        <v>44</v>
      </c>
      <c r="D59" s="16" t="s">
        <v>376</v>
      </c>
      <c r="E59" s="16" t="s">
        <v>205</v>
      </c>
      <c r="F59" s="20" t="s">
        <v>761</v>
      </c>
      <c r="G59" s="16"/>
      <c r="H59" s="16"/>
      <c r="I59" s="16"/>
      <c r="J59" s="16"/>
    </row>
    <row r="60" customFormat="false" ht="15" hidden="false" customHeight="false" outlineLevel="0" collapsed="false">
      <c r="A60" s="12" t="s">
        <v>394</v>
      </c>
      <c r="B60" s="13" t="s">
        <v>395</v>
      </c>
      <c r="C60" s="13" t="s">
        <v>43</v>
      </c>
      <c r="D60" s="13" t="s">
        <v>376</v>
      </c>
      <c r="E60" s="13" t="s">
        <v>205</v>
      </c>
      <c r="F60" s="20" t="s">
        <v>761</v>
      </c>
      <c r="G60" s="13"/>
      <c r="H60" s="13"/>
      <c r="I60" s="13"/>
      <c r="J60" s="13"/>
    </row>
    <row r="61" customFormat="false" ht="15" hidden="false" customHeight="false" outlineLevel="0" collapsed="false">
      <c r="A61" s="15" t="s">
        <v>398</v>
      </c>
      <c r="B61" s="16" t="s">
        <v>399</v>
      </c>
      <c r="C61" s="16" t="s">
        <v>44</v>
      </c>
      <c r="D61" s="16" t="s">
        <v>376</v>
      </c>
      <c r="E61" s="16" t="s">
        <v>205</v>
      </c>
      <c r="F61" s="20" t="s">
        <v>761</v>
      </c>
      <c r="G61" s="16"/>
      <c r="H61" s="16"/>
      <c r="I61" s="16"/>
      <c r="J61" s="16"/>
    </row>
    <row r="62" customFormat="false" ht="15" hidden="false" customHeight="false" outlineLevel="0" collapsed="false">
      <c r="A62" s="12" t="s">
        <v>401</v>
      </c>
      <c r="B62" s="13" t="s">
        <v>402</v>
      </c>
      <c r="C62" s="13" t="s">
        <v>45</v>
      </c>
      <c r="D62" s="13" t="s">
        <v>376</v>
      </c>
      <c r="E62" s="13" t="s">
        <v>205</v>
      </c>
      <c r="F62" s="20" t="s">
        <v>761</v>
      </c>
      <c r="G62" s="13"/>
      <c r="H62" s="13"/>
      <c r="I62" s="13"/>
      <c r="J62" s="13"/>
    </row>
    <row r="63" customFormat="false" ht="15" hidden="false" customHeight="false" outlineLevel="0" collapsed="false">
      <c r="A63" s="15" t="s">
        <v>405</v>
      </c>
      <c r="B63" s="16" t="s">
        <v>406</v>
      </c>
      <c r="C63" s="16" t="s">
        <v>45</v>
      </c>
      <c r="D63" s="16" t="s">
        <v>376</v>
      </c>
      <c r="E63" s="16" t="s">
        <v>216</v>
      </c>
      <c r="F63" s="20" t="s">
        <v>761</v>
      </c>
      <c r="G63" s="16"/>
      <c r="H63" s="16"/>
      <c r="I63" s="16"/>
      <c r="J63" s="16"/>
    </row>
    <row r="64" customFormat="false" ht="15" hidden="false" customHeight="false" outlineLevel="0" collapsed="false">
      <c r="A64" s="12" t="s">
        <v>409</v>
      </c>
      <c r="B64" s="13" t="s">
        <v>410</v>
      </c>
      <c r="C64" s="13" t="s">
        <v>44</v>
      </c>
      <c r="D64" s="13" t="s">
        <v>376</v>
      </c>
      <c r="E64" s="13" t="s">
        <v>216</v>
      </c>
      <c r="F64" s="20" t="s">
        <v>761</v>
      </c>
      <c r="G64" s="13"/>
      <c r="H64" s="13"/>
      <c r="I64" s="13"/>
      <c r="J64" s="13"/>
    </row>
    <row r="65" customFormat="false" ht="15" hidden="false" customHeight="false" outlineLevel="0" collapsed="false">
      <c r="A65" s="15" t="s">
        <v>412</v>
      </c>
      <c r="B65" s="16" t="s">
        <v>413</v>
      </c>
      <c r="C65" s="16" t="s">
        <v>45</v>
      </c>
      <c r="D65" s="16" t="s">
        <v>376</v>
      </c>
      <c r="E65" s="16" t="s">
        <v>205</v>
      </c>
      <c r="F65" s="20" t="s">
        <v>761</v>
      </c>
      <c r="G65" s="16"/>
      <c r="H65" s="16"/>
      <c r="I65" s="16"/>
      <c r="J65" s="16"/>
    </row>
    <row r="66" customFormat="false" ht="15" hidden="false" customHeight="false" outlineLevel="0" collapsed="false">
      <c r="A66" s="12" t="s">
        <v>416</v>
      </c>
      <c r="B66" s="13" t="s">
        <v>417</v>
      </c>
      <c r="C66" s="13" t="s">
        <v>45</v>
      </c>
      <c r="D66" s="13" t="s">
        <v>376</v>
      </c>
      <c r="E66" s="13" t="s">
        <v>216</v>
      </c>
      <c r="F66" s="20" t="s">
        <v>761</v>
      </c>
      <c r="G66" s="13"/>
      <c r="H66" s="13"/>
      <c r="I66" s="13"/>
      <c r="J66" s="13"/>
    </row>
    <row r="67" customFormat="false" ht="15" hidden="false" customHeight="false" outlineLevel="0" collapsed="false">
      <c r="A67" s="15" t="s">
        <v>419</v>
      </c>
      <c r="B67" s="16" t="s">
        <v>420</v>
      </c>
      <c r="C67" s="16" t="s">
        <v>45</v>
      </c>
      <c r="D67" s="16" t="s">
        <v>376</v>
      </c>
      <c r="E67" s="16" t="s">
        <v>205</v>
      </c>
      <c r="F67" s="20" t="s">
        <v>761</v>
      </c>
      <c r="G67" s="16"/>
      <c r="H67" s="16"/>
      <c r="I67" s="16"/>
      <c r="J67" s="16"/>
    </row>
    <row r="68" customFormat="false" ht="15" hidden="false" customHeight="false" outlineLevel="0" collapsed="false">
      <c r="A68" s="12" t="s">
        <v>423</v>
      </c>
      <c r="B68" s="13" t="s">
        <v>424</v>
      </c>
      <c r="C68" s="13" t="s">
        <v>45</v>
      </c>
      <c r="D68" s="13" t="s">
        <v>376</v>
      </c>
      <c r="E68" s="13" t="s">
        <v>205</v>
      </c>
      <c r="F68" s="20" t="s">
        <v>761</v>
      </c>
      <c r="G68" s="13"/>
      <c r="H68" s="13"/>
      <c r="I68" s="13"/>
      <c r="J68" s="13"/>
    </row>
    <row r="69" customFormat="false" ht="23.85" hidden="false" customHeight="false" outlineLevel="0" collapsed="false">
      <c r="A69" s="15" t="s">
        <v>426</v>
      </c>
      <c r="B69" s="16" t="s">
        <v>427</v>
      </c>
      <c r="C69" s="16" t="s">
        <v>44</v>
      </c>
      <c r="D69" s="16" t="s">
        <v>376</v>
      </c>
      <c r="E69" s="16" t="s">
        <v>205</v>
      </c>
      <c r="F69" s="20" t="s">
        <v>761</v>
      </c>
      <c r="G69" s="16"/>
      <c r="H69" s="16"/>
      <c r="I69" s="16"/>
      <c r="J69" s="16"/>
    </row>
    <row r="70" customFormat="false" ht="15" hidden="false" customHeight="false" outlineLevel="0" collapsed="false">
      <c r="A70" s="12" t="s">
        <v>430</v>
      </c>
      <c r="B70" s="13" t="s">
        <v>431</v>
      </c>
      <c r="C70" s="13" t="s">
        <v>44</v>
      </c>
      <c r="D70" s="13" t="s">
        <v>376</v>
      </c>
      <c r="E70" s="13" t="s">
        <v>205</v>
      </c>
      <c r="F70" s="20" t="s">
        <v>761</v>
      </c>
      <c r="G70" s="13"/>
      <c r="H70" s="13"/>
      <c r="I70" s="13"/>
      <c r="J70" s="13"/>
    </row>
    <row r="71" customFormat="false" ht="15" hidden="false" customHeight="false" outlineLevel="0" collapsed="false">
      <c r="A71" s="15" t="s">
        <v>433</v>
      </c>
      <c r="B71" s="16" t="s">
        <v>435</v>
      </c>
      <c r="C71" s="16" t="s">
        <v>46</v>
      </c>
      <c r="D71" s="16" t="s">
        <v>434</v>
      </c>
      <c r="E71" s="16" t="s">
        <v>205</v>
      </c>
      <c r="F71" s="20" t="s">
        <v>761</v>
      </c>
      <c r="G71" s="16"/>
      <c r="H71" s="16"/>
      <c r="I71" s="16"/>
      <c r="J71" s="16"/>
    </row>
    <row r="72" customFormat="false" ht="15" hidden="false" customHeight="false" outlineLevel="0" collapsed="false">
      <c r="A72" s="12" t="s">
        <v>437</v>
      </c>
      <c r="B72" s="13" t="s">
        <v>438</v>
      </c>
      <c r="C72" s="13" t="s">
        <v>44</v>
      </c>
      <c r="D72" s="13" t="s">
        <v>434</v>
      </c>
      <c r="E72" s="13" t="s">
        <v>205</v>
      </c>
      <c r="F72" s="20" t="s">
        <v>761</v>
      </c>
      <c r="G72" s="13"/>
      <c r="H72" s="13"/>
      <c r="I72" s="13"/>
      <c r="J72" s="13"/>
    </row>
    <row r="73" customFormat="false" ht="15" hidden="false" customHeight="false" outlineLevel="0" collapsed="false">
      <c r="A73" s="15" t="s">
        <v>440</v>
      </c>
      <c r="B73" s="16" t="s">
        <v>441</v>
      </c>
      <c r="C73" s="16" t="s">
        <v>44</v>
      </c>
      <c r="D73" s="16" t="s">
        <v>434</v>
      </c>
      <c r="E73" s="16" t="s">
        <v>205</v>
      </c>
      <c r="F73" s="20" t="s">
        <v>761</v>
      </c>
      <c r="G73" s="16"/>
      <c r="H73" s="16"/>
      <c r="I73" s="16"/>
      <c r="J73" s="16"/>
    </row>
    <row r="74" customFormat="false" ht="15" hidden="false" customHeight="false" outlineLevel="0" collapsed="false">
      <c r="A74" s="12" t="s">
        <v>444</v>
      </c>
      <c r="B74" s="13" t="s">
        <v>445</v>
      </c>
      <c r="C74" s="13" t="s">
        <v>45</v>
      </c>
      <c r="D74" s="13" t="s">
        <v>434</v>
      </c>
      <c r="E74" s="13" t="s">
        <v>216</v>
      </c>
      <c r="F74" s="20" t="s">
        <v>761</v>
      </c>
      <c r="G74" s="13"/>
      <c r="H74" s="13"/>
      <c r="I74" s="13"/>
      <c r="J74" s="13"/>
    </row>
    <row r="75" customFormat="false" ht="15" hidden="false" customHeight="false" outlineLevel="0" collapsed="false">
      <c r="A75" s="15" t="s">
        <v>447</v>
      </c>
      <c r="B75" s="16" t="s">
        <v>448</v>
      </c>
      <c r="C75" s="16" t="s">
        <v>44</v>
      </c>
      <c r="D75" s="16" t="s">
        <v>434</v>
      </c>
      <c r="E75" s="16" t="s">
        <v>205</v>
      </c>
      <c r="F75" s="20" t="s">
        <v>761</v>
      </c>
      <c r="G75" s="16"/>
      <c r="H75" s="16"/>
      <c r="I75" s="16"/>
      <c r="J75" s="16"/>
    </row>
    <row r="76" customFormat="false" ht="15" hidden="false" customHeight="false" outlineLevel="0" collapsed="false">
      <c r="A76" s="12" t="s">
        <v>451</v>
      </c>
      <c r="B76" s="13" t="s">
        <v>452</v>
      </c>
      <c r="C76" s="13" t="s">
        <v>45</v>
      </c>
      <c r="D76" s="13" t="s">
        <v>434</v>
      </c>
      <c r="E76" s="13" t="s">
        <v>216</v>
      </c>
      <c r="F76" s="20" t="s">
        <v>761</v>
      </c>
      <c r="G76" s="13"/>
      <c r="H76" s="13"/>
      <c r="I76" s="13"/>
      <c r="J76" s="13"/>
    </row>
    <row r="77" customFormat="false" ht="15" hidden="false" customHeight="false" outlineLevel="0" collapsed="false">
      <c r="A77" s="15" t="s">
        <v>455</v>
      </c>
      <c r="B77" s="16" t="s">
        <v>456</v>
      </c>
      <c r="C77" s="16" t="s">
        <v>45</v>
      </c>
      <c r="D77" s="16" t="s">
        <v>434</v>
      </c>
      <c r="E77" s="16" t="s">
        <v>216</v>
      </c>
      <c r="F77" s="20" t="s">
        <v>761</v>
      </c>
      <c r="G77" s="16"/>
      <c r="H77" s="16"/>
      <c r="I77" s="16"/>
      <c r="J77" s="16"/>
    </row>
    <row r="78" customFormat="false" ht="15" hidden="false" customHeight="false" outlineLevel="0" collapsed="false">
      <c r="A78" s="12" t="s">
        <v>458</v>
      </c>
      <c r="B78" s="13" t="s">
        <v>459</v>
      </c>
      <c r="C78" s="13" t="s">
        <v>46</v>
      </c>
      <c r="D78" s="13" t="s">
        <v>434</v>
      </c>
      <c r="E78" s="13" t="s">
        <v>216</v>
      </c>
      <c r="F78" s="20" t="s">
        <v>761</v>
      </c>
      <c r="G78" s="13"/>
      <c r="H78" s="13"/>
      <c r="I78" s="13"/>
      <c r="J78" s="13"/>
    </row>
    <row r="79" customFormat="false" ht="15" hidden="false" customHeight="false" outlineLevel="0" collapsed="false">
      <c r="A79" s="15" t="s">
        <v>462</v>
      </c>
      <c r="B79" s="16" t="s">
        <v>464</v>
      </c>
      <c r="C79" s="16" t="s">
        <v>44</v>
      </c>
      <c r="D79" s="16" t="s">
        <v>463</v>
      </c>
      <c r="E79" s="16" t="s">
        <v>205</v>
      </c>
      <c r="F79" s="20" t="s">
        <v>761</v>
      </c>
      <c r="G79" s="16"/>
      <c r="H79" s="16"/>
      <c r="I79" s="16"/>
      <c r="J79" s="16"/>
    </row>
    <row r="80" customFormat="false" ht="15" hidden="false" customHeight="false" outlineLevel="0" collapsed="false">
      <c r="A80" s="12" t="s">
        <v>466</v>
      </c>
      <c r="B80" s="13" t="s">
        <v>467</v>
      </c>
      <c r="C80" s="13" t="s">
        <v>43</v>
      </c>
      <c r="D80" s="13" t="s">
        <v>463</v>
      </c>
      <c r="E80" s="13" t="s">
        <v>205</v>
      </c>
      <c r="F80" s="20" t="s">
        <v>761</v>
      </c>
      <c r="G80" s="13"/>
      <c r="H80" s="13"/>
      <c r="I80" s="13"/>
      <c r="J80" s="13"/>
    </row>
    <row r="81" customFormat="false" ht="15" hidden="false" customHeight="false" outlineLevel="0" collapsed="false">
      <c r="A81" s="15" t="s">
        <v>470</v>
      </c>
      <c r="B81" s="16" t="s">
        <v>471</v>
      </c>
      <c r="C81" s="16" t="s">
        <v>44</v>
      </c>
      <c r="D81" s="16" t="s">
        <v>463</v>
      </c>
      <c r="E81" s="16" t="s">
        <v>205</v>
      </c>
      <c r="F81" s="20" t="s">
        <v>761</v>
      </c>
      <c r="G81" s="16"/>
      <c r="H81" s="16"/>
      <c r="I81" s="16"/>
      <c r="J81" s="16"/>
    </row>
    <row r="82" customFormat="false" ht="15" hidden="false" customHeight="false" outlineLevel="0" collapsed="false">
      <c r="A82" s="12" t="s">
        <v>474</v>
      </c>
      <c r="B82" s="13" t="s">
        <v>475</v>
      </c>
      <c r="C82" s="13" t="s">
        <v>44</v>
      </c>
      <c r="D82" s="13" t="s">
        <v>463</v>
      </c>
      <c r="E82" s="13" t="s">
        <v>205</v>
      </c>
      <c r="F82" s="20" t="s">
        <v>761</v>
      </c>
      <c r="G82" s="13"/>
      <c r="H82" s="13"/>
      <c r="I82" s="13"/>
      <c r="J82" s="13"/>
    </row>
    <row r="83" customFormat="false" ht="15" hidden="false" customHeight="false" outlineLevel="0" collapsed="false">
      <c r="A83" s="15" t="s">
        <v>477</v>
      </c>
      <c r="B83" s="16" t="s">
        <v>478</v>
      </c>
      <c r="C83" s="16" t="s">
        <v>44</v>
      </c>
      <c r="D83" s="16" t="s">
        <v>463</v>
      </c>
      <c r="E83" s="16" t="s">
        <v>205</v>
      </c>
      <c r="F83" s="20" t="s">
        <v>761</v>
      </c>
      <c r="G83" s="16"/>
      <c r="H83" s="16"/>
      <c r="I83" s="16"/>
      <c r="J83" s="16"/>
    </row>
    <row r="84" customFormat="false" ht="15" hidden="false" customHeight="false" outlineLevel="0" collapsed="false">
      <c r="A84" s="12" t="s">
        <v>480</v>
      </c>
      <c r="B84" s="13" t="s">
        <v>481</v>
      </c>
      <c r="C84" s="13" t="s">
        <v>44</v>
      </c>
      <c r="D84" s="13" t="s">
        <v>463</v>
      </c>
      <c r="E84" s="13" t="s">
        <v>205</v>
      </c>
      <c r="F84" s="20" t="s">
        <v>761</v>
      </c>
      <c r="G84" s="13"/>
      <c r="H84" s="13"/>
      <c r="I84" s="13"/>
      <c r="J84" s="13"/>
    </row>
    <row r="85" customFormat="false" ht="15" hidden="false" customHeight="false" outlineLevel="0" collapsed="false">
      <c r="A85" s="15" t="s">
        <v>483</v>
      </c>
      <c r="B85" s="16" t="s">
        <v>484</v>
      </c>
      <c r="C85" s="16" t="s">
        <v>45</v>
      </c>
      <c r="D85" s="16" t="s">
        <v>463</v>
      </c>
      <c r="E85" s="16" t="s">
        <v>205</v>
      </c>
      <c r="F85" s="20" t="s">
        <v>761</v>
      </c>
      <c r="G85" s="16"/>
      <c r="H85" s="16"/>
      <c r="I85" s="16"/>
      <c r="J85" s="16"/>
    </row>
    <row r="86" customFormat="false" ht="15" hidden="false" customHeight="false" outlineLevel="0" collapsed="false">
      <c r="A86" s="12" t="s">
        <v>486</v>
      </c>
      <c r="B86" s="13" t="s">
        <v>487</v>
      </c>
      <c r="C86" s="13" t="s">
        <v>44</v>
      </c>
      <c r="D86" s="13" t="s">
        <v>463</v>
      </c>
      <c r="E86" s="13" t="s">
        <v>205</v>
      </c>
      <c r="F86" s="20" t="s">
        <v>761</v>
      </c>
      <c r="G86" s="13"/>
      <c r="H86" s="13"/>
      <c r="I86" s="13"/>
      <c r="J86" s="13"/>
    </row>
    <row r="87" customFormat="false" ht="15" hidden="false" customHeight="false" outlineLevel="0" collapsed="false">
      <c r="A87" s="15" t="s">
        <v>490</v>
      </c>
      <c r="B87" s="16" t="s">
        <v>491</v>
      </c>
      <c r="C87" s="16" t="s">
        <v>44</v>
      </c>
      <c r="D87" s="16" t="s">
        <v>463</v>
      </c>
      <c r="E87" s="16" t="s">
        <v>205</v>
      </c>
      <c r="F87" s="20" t="s">
        <v>761</v>
      </c>
      <c r="G87" s="16"/>
      <c r="H87" s="16"/>
      <c r="I87" s="16"/>
      <c r="J87" s="16"/>
    </row>
    <row r="88" customFormat="false" ht="15" hidden="false" customHeight="false" outlineLevel="0" collapsed="false">
      <c r="A88" s="12" t="s">
        <v>494</v>
      </c>
      <c r="B88" s="13" t="s">
        <v>495</v>
      </c>
      <c r="C88" s="13" t="s">
        <v>44</v>
      </c>
      <c r="D88" s="13" t="s">
        <v>463</v>
      </c>
      <c r="E88" s="13" t="s">
        <v>205</v>
      </c>
      <c r="F88" s="20" t="s">
        <v>761</v>
      </c>
      <c r="G88" s="13"/>
      <c r="H88" s="13"/>
      <c r="I88" s="13"/>
      <c r="J88" s="13"/>
    </row>
    <row r="89" customFormat="false" ht="15" hidden="false" customHeight="false" outlineLevel="0" collapsed="false">
      <c r="A89" s="15" t="s">
        <v>497</v>
      </c>
      <c r="B89" s="16" t="s">
        <v>498</v>
      </c>
      <c r="C89" s="16" t="s">
        <v>45</v>
      </c>
      <c r="D89" s="16" t="s">
        <v>463</v>
      </c>
      <c r="E89" s="16" t="s">
        <v>216</v>
      </c>
      <c r="F89" s="20" t="s">
        <v>761</v>
      </c>
      <c r="G89" s="16"/>
      <c r="H89" s="16"/>
      <c r="I89" s="16"/>
      <c r="J89" s="16"/>
    </row>
    <row r="90" customFormat="false" ht="15" hidden="false" customHeight="false" outlineLevel="0" collapsed="false">
      <c r="A90" s="12" t="s">
        <v>500</v>
      </c>
      <c r="B90" s="13" t="s">
        <v>501</v>
      </c>
      <c r="C90" s="13" t="s">
        <v>45</v>
      </c>
      <c r="D90" s="13" t="s">
        <v>463</v>
      </c>
      <c r="E90" s="13" t="s">
        <v>216</v>
      </c>
      <c r="F90" s="20" t="s">
        <v>761</v>
      </c>
      <c r="G90" s="13"/>
      <c r="H90" s="13"/>
      <c r="I90" s="13"/>
      <c r="J90" s="13"/>
    </row>
    <row r="91" customFormat="false" ht="15" hidden="false" customHeight="false" outlineLevel="0" collapsed="false">
      <c r="A91" s="15" t="s">
        <v>503</v>
      </c>
      <c r="B91" s="16" t="s">
        <v>504</v>
      </c>
      <c r="C91" s="16" t="s">
        <v>45</v>
      </c>
      <c r="D91" s="16" t="s">
        <v>463</v>
      </c>
      <c r="E91" s="16" t="s">
        <v>216</v>
      </c>
      <c r="F91" s="20" t="s">
        <v>761</v>
      </c>
      <c r="G91" s="16"/>
      <c r="H91" s="16"/>
      <c r="I91" s="16"/>
      <c r="J91" s="16"/>
    </row>
    <row r="92" customFormat="false" ht="15" hidden="false" customHeight="false" outlineLevel="0" collapsed="false">
      <c r="A92" s="12" t="s">
        <v>506</v>
      </c>
      <c r="B92" s="13" t="s">
        <v>507</v>
      </c>
      <c r="C92" s="13" t="s">
        <v>45</v>
      </c>
      <c r="D92" s="13" t="s">
        <v>463</v>
      </c>
      <c r="E92" s="13" t="s">
        <v>216</v>
      </c>
      <c r="F92" s="20" t="s">
        <v>761</v>
      </c>
      <c r="G92" s="13"/>
      <c r="H92" s="13"/>
      <c r="I92" s="13"/>
      <c r="J92" s="13"/>
    </row>
    <row r="93" customFormat="false" ht="15" hidden="false" customHeight="false" outlineLevel="0" collapsed="false">
      <c r="A93" s="15" t="s">
        <v>509</v>
      </c>
      <c r="B93" s="16" t="s">
        <v>511</v>
      </c>
      <c r="C93" s="16" t="s">
        <v>44</v>
      </c>
      <c r="D93" s="16" t="s">
        <v>510</v>
      </c>
      <c r="E93" s="16" t="s">
        <v>205</v>
      </c>
      <c r="F93" s="20" t="s">
        <v>761</v>
      </c>
      <c r="G93" s="16"/>
      <c r="H93" s="16"/>
      <c r="I93" s="16"/>
      <c r="J93" s="16"/>
    </row>
    <row r="94" customFormat="false" ht="15" hidden="false" customHeight="false" outlineLevel="0" collapsed="false">
      <c r="A94" s="12" t="s">
        <v>513</v>
      </c>
      <c r="B94" s="13" t="s">
        <v>514</v>
      </c>
      <c r="C94" s="13" t="s">
        <v>44</v>
      </c>
      <c r="D94" s="13" t="s">
        <v>510</v>
      </c>
      <c r="E94" s="13" t="s">
        <v>205</v>
      </c>
      <c r="F94" s="20" t="s">
        <v>761</v>
      </c>
      <c r="G94" s="13"/>
      <c r="H94" s="13"/>
      <c r="I94" s="13"/>
      <c r="J94" s="13"/>
    </row>
    <row r="95" customFormat="false" ht="15" hidden="false" customHeight="false" outlineLevel="0" collapsed="false">
      <c r="A95" s="15" t="s">
        <v>517</v>
      </c>
      <c r="B95" s="16" t="s">
        <v>518</v>
      </c>
      <c r="C95" s="16" t="s">
        <v>44</v>
      </c>
      <c r="D95" s="16" t="s">
        <v>510</v>
      </c>
      <c r="E95" s="16" t="s">
        <v>205</v>
      </c>
      <c r="F95" s="20" t="s">
        <v>761</v>
      </c>
      <c r="G95" s="16"/>
      <c r="H95" s="16"/>
      <c r="I95" s="16"/>
      <c r="J95" s="16"/>
    </row>
    <row r="96" customFormat="false" ht="15" hidden="false" customHeight="false" outlineLevel="0" collapsed="false">
      <c r="A96" s="12" t="s">
        <v>520</v>
      </c>
      <c r="B96" s="13" t="s">
        <v>521</v>
      </c>
      <c r="C96" s="13" t="s">
        <v>44</v>
      </c>
      <c r="D96" s="13" t="s">
        <v>510</v>
      </c>
      <c r="E96" s="13" t="s">
        <v>205</v>
      </c>
      <c r="F96" s="20" t="s">
        <v>761</v>
      </c>
      <c r="G96" s="13"/>
      <c r="H96" s="13"/>
      <c r="I96" s="13"/>
      <c r="J96" s="13"/>
    </row>
    <row r="97" customFormat="false" ht="15" hidden="false" customHeight="false" outlineLevel="0" collapsed="false">
      <c r="A97" s="15" t="s">
        <v>523</v>
      </c>
      <c r="B97" s="16" t="s">
        <v>524</v>
      </c>
      <c r="C97" s="16" t="s">
        <v>44</v>
      </c>
      <c r="D97" s="16" t="s">
        <v>510</v>
      </c>
      <c r="E97" s="16" t="s">
        <v>205</v>
      </c>
      <c r="F97" s="20" t="s">
        <v>761</v>
      </c>
      <c r="G97" s="16"/>
      <c r="H97" s="16"/>
      <c r="I97" s="16"/>
      <c r="J97" s="16"/>
    </row>
    <row r="98" customFormat="false" ht="15" hidden="false" customHeight="false" outlineLevel="0" collapsed="false">
      <c r="A98" s="12" t="s">
        <v>526</v>
      </c>
      <c r="B98" s="13" t="s">
        <v>527</v>
      </c>
      <c r="C98" s="13" t="s">
        <v>45</v>
      </c>
      <c r="D98" s="13" t="s">
        <v>510</v>
      </c>
      <c r="E98" s="13" t="s">
        <v>216</v>
      </c>
      <c r="F98" s="20" t="s">
        <v>761</v>
      </c>
      <c r="G98" s="13"/>
      <c r="H98" s="13"/>
      <c r="I98" s="13"/>
      <c r="J98" s="13"/>
    </row>
    <row r="99" customFormat="false" ht="15" hidden="false" customHeight="false" outlineLevel="0" collapsed="false">
      <c r="A99" s="15" t="s">
        <v>529</v>
      </c>
      <c r="B99" s="16" t="s">
        <v>530</v>
      </c>
      <c r="C99" s="16" t="s">
        <v>45</v>
      </c>
      <c r="D99" s="16" t="s">
        <v>510</v>
      </c>
      <c r="E99" s="16" t="s">
        <v>216</v>
      </c>
      <c r="F99" s="20" t="s">
        <v>761</v>
      </c>
      <c r="G99" s="16"/>
      <c r="H99" s="16"/>
      <c r="I99" s="16"/>
      <c r="J99" s="16"/>
    </row>
    <row r="100" customFormat="false" ht="15" hidden="false" customHeight="false" outlineLevel="0" collapsed="false">
      <c r="A100" s="12" t="s">
        <v>532</v>
      </c>
      <c r="B100" s="13" t="s">
        <v>533</v>
      </c>
      <c r="C100" s="13" t="s">
        <v>46</v>
      </c>
      <c r="D100" s="13" t="s">
        <v>510</v>
      </c>
      <c r="E100" s="13" t="s">
        <v>216</v>
      </c>
      <c r="F100" s="20" t="s">
        <v>761</v>
      </c>
      <c r="G100" s="13"/>
      <c r="H100" s="13"/>
      <c r="I100" s="13"/>
      <c r="J100" s="13"/>
    </row>
    <row r="101" customFormat="false" ht="15" hidden="false" customHeight="false" outlineLevel="0" collapsed="false">
      <c r="A101" s="15" t="s">
        <v>535</v>
      </c>
      <c r="B101" s="16" t="s">
        <v>536</v>
      </c>
      <c r="C101" s="16" t="s">
        <v>45</v>
      </c>
      <c r="D101" s="16" t="s">
        <v>510</v>
      </c>
      <c r="E101" s="16" t="s">
        <v>205</v>
      </c>
      <c r="F101" s="20" t="s">
        <v>761</v>
      </c>
      <c r="G101" s="16"/>
      <c r="H101" s="16"/>
      <c r="I101" s="16"/>
      <c r="J101" s="16"/>
    </row>
    <row r="102" customFormat="false" ht="15" hidden="false" customHeight="false" outlineLevel="0" collapsed="false">
      <c r="A102" s="12" t="s">
        <v>538</v>
      </c>
      <c r="B102" s="13" t="s">
        <v>539</v>
      </c>
      <c r="C102" s="13" t="s">
        <v>43</v>
      </c>
      <c r="D102" s="13" t="s">
        <v>106</v>
      </c>
      <c r="E102" s="13" t="s">
        <v>205</v>
      </c>
      <c r="F102" s="20" t="s">
        <v>761</v>
      </c>
      <c r="G102" s="13"/>
      <c r="H102" s="13"/>
      <c r="I102" s="13"/>
      <c r="J102" s="13"/>
    </row>
    <row r="103" customFormat="false" ht="15" hidden="false" customHeight="false" outlineLevel="0" collapsed="false">
      <c r="A103" s="15" t="s">
        <v>541</v>
      </c>
      <c r="B103" s="16" t="s">
        <v>542</v>
      </c>
      <c r="C103" s="16" t="s">
        <v>44</v>
      </c>
      <c r="D103" s="16" t="s">
        <v>106</v>
      </c>
      <c r="E103" s="16" t="s">
        <v>205</v>
      </c>
      <c r="F103" s="20" t="s">
        <v>761</v>
      </c>
      <c r="G103" s="16"/>
      <c r="H103" s="16"/>
      <c r="I103" s="16"/>
      <c r="J103" s="16"/>
    </row>
    <row r="104" customFormat="false" ht="15" hidden="false" customHeight="false" outlineLevel="0" collapsed="false">
      <c r="A104" s="12" t="s">
        <v>545</v>
      </c>
      <c r="B104" s="13" t="s">
        <v>546</v>
      </c>
      <c r="C104" s="13" t="s">
        <v>45</v>
      </c>
      <c r="D104" s="13" t="s">
        <v>106</v>
      </c>
      <c r="E104" s="13" t="s">
        <v>216</v>
      </c>
      <c r="F104" s="20" t="s">
        <v>761</v>
      </c>
      <c r="G104" s="13"/>
      <c r="H104" s="13"/>
      <c r="I104" s="13"/>
      <c r="J104" s="13"/>
    </row>
    <row r="105" customFormat="false" ht="15" hidden="false" customHeight="false" outlineLevel="0" collapsed="false">
      <c r="A105" s="15" t="s">
        <v>162</v>
      </c>
      <c r="B105" s="16" t="s">
        <v>549</v>
      </c>
      <c r="C105" s="16" t="s">
        <v>45</v>
      </c>
      <c r="D105" s="16" t="s">
        <v>106</v>
      </c>
      <c r="E105" s="16" t="s">
        <v>205</v>
      </c>
      <c r="F105" s="20" t="s">
        <v>761</v>
      </c>
      <c r="G105" s="16"/>
      <c r="H105" s="16"/>
      <c r="I105" s="16"/>
      <c r="J105" s="16"/>
    </row>
    <row r="106" customFormat="false" ht="15" hidden="false" customHeight="false" outlineLevel="0" collapsed="false">
      <c r="A106" s="12" t="s">
        <v>552</v>
      </c>
      <c r="B106" s="13" t="s">
        <v>553</v>
      </c>
      <c r="C106" s="13" t="s">
        <v>45</v>
      </c>
      <c r="D106" s="13" t="s">
        <v>106</v>
      </c>
      <c r="E106" s="13" t="s">
        <v>216</v>
      </c>
      <c r="F106" s="20" t="s">
        <v>761</v>
      </c>
      <c r="G106" s="13"/>
      <c r="H106" s="13"/>
      <c r="I106" s="13"/>
      <c r="J106" s="13"/>
    </row>
    <row r="107" customFormat="false" ht="15" hidden="false" customHeight="false" outlineLevel="0" collapsed="false">
      <c r="A107" s="15" t="s">
        <v>556</v>
      </c>
      <c r="B107" s="16" t="s">
        <v>557</v>
      </c>
      <c r="C107" s="16" t="s">
        <v>45</v>
      </c>
      <c r="D107" s="16" t="s">
        <v>106</v>
      </c>
      <c r="E107" s="16" t="s">
        <v>216</v>
      </c>
      <c r="F107" s="20" t="s">
        <v>761</v>
      </c>
      <c r="G107" s="16"/>
      <c r="H107" s="16"/>
      <c r="I107" s="16"/>
      <c r="J107" s="16"/>
    </row>
    <row r="108" customFormat="false" ht="15" hidden="false" customHeight="false" outlineLevel="0" collapsed="false">
      <c r="A108" s="12" t="s">
        <v>560</v>
      </c>
      <c r="B108" s="13" t="s">
        <v>561</v>
      </c>
      <c r="C108" s="13" t="s">
        <v>45</v>
      </c>
      <c r="D108" s="13" t="s">
        <v>106</v>
      </c>
      <c r="E108" s="13" t="s">
        <v>205</v>
      </c>
      <c r="F108" s="20" t="s">
        <v>761</v>
      </c>
      <c r="G108" s="13"/>
      <c r="H108" s="13"/>
      <c r="I108" s="13"/>
      <c r="J108" s="13"/>
    </row>
    <row r="109" customFormat="false" ht="15" hidden="false" customHeight="false" outlineLevel="0" collapsed="false">
      <c r="A109" s="15" t="s">
        <v>563</v>
      </c>
      <c r="B109" s="16" t="s">
        <v>565</v>
      </c>
      <c r="C109" s="16" t="s">
        <v>46</v>
      </c>
      <c r="D109" s="16" t="s">
        <v>564</v>
      </c>
      <c r="E109" s="16" t="s">
        <v>205</v>
      </c>
      <c r="F109" s="20" t="s">
        <v>761</v>
      </c>
      <c r="G109" s="16"/>
      <c r="H109" s="16"/>
      <c r="I109" s="16"/>
      <c r="J109" s="16"/>
    </row>
    <row r="110" customFormat="false" ht="15" hidden="false" customHeight="false" outlineLevel="0" collapsed="false">
      <c r="A110" s="12" t="s">
        <v>567</v>
      </c>
      <c r="B110" s="13" t="s">
        <v>568</v>
      </c>
      <c r="C110" s="13" t="s">
        <v>46</v>
      </c>
      <c r="D110" s="13" t="s">
        <v>564</v>
      </c>
      <c r="E110" s="13" t="s">
        <v>205</v>
      </c>
      <c r="F110" s="20" t="s">
        <v>761</v>
      </c>
      <c r="G110" s="13"/>
      <c r="H110" s="13"/>
      <c r="I110" s="13"/>
      <c r="J110" s="13"/>
    </row>
    <row r="111" customFormat="false" ht="15" hidden="false" customHeight="false" outlineLevel="0" collapsed="false">
      <c r="A111" s="15" t="s">
        <v>570</v>
      </c>
      <c r="B111" s="16" t="s">
        <v>571</v>
      </c>
      <c r="C111" s="16" t="s">
        <v>44</v>
      </c>
      <c r="D111" s="16" t="s">
        <v>282</v>
      </c>
      <c r="E111" s="16" t="s">
        <v>216</v>
      </c>
      <c r="F111" s="20" t="s">
        <v>761</v>
      </c>
      <c r="G111" s="16"/>
      <c r="H111" s="16"/>
      <c r="I111" s="16"/>
      <c r="J111" s="16"/>
    </row>
    <row r="112" customFormat="false" ht="15" hidden="false" customHeight="false" outlineLevel="0" collapsed="false">
      <c r="A112" s="12" t="s">
        <v>574</v>
      </c>
      <c r="B112" s="13" t="s">
        <v>575</v>
      </c>
      <c r="C112" s="13" t="s">
        <v>44</v>
      </c>
      <c r="D112" s="13" t="s">
        <v>282</v>
      </c>
      <c r="E112" s="13" t="s">
        <v>216</v>
      </c>
      <c r="F112" s="20" t="s">
        <v>761</v>
      </c>
      <c r="G112" s="13"/>
      <c r="H112" s="13"/>
      <c r="I112" s="13"/>
      <c r="J112" s="13"/>
    </row>
    <row r="113" customFormat="false" ht="15" hidden="false" customHeight="false" outlineLevel="0" collapsed="false">
      <c r="A113" s="15" t="s">
        <v>578</v>
      </c>
      <c r="B113" s="16" t="s">
        <v>579</v>
      </c>
      <c r="C113" s="16" t="s">
        <v>45</v>
      </c>
      <c r="D113" s="16" t="s">
        <v>282</v>
      </c>
      <c r="E113" s="16" t="s">
        <v>216</v>
      </c>
      <c r="F113" s="20" t="s">
        <v>761</v>
      </c>
      <c r="G113" s="16"/>
      <c r="H113" s="16"/>
      <c r="I113" s="16"/>
      <c r="J113" s="16"/>
    </row>
    <row r="114" customFormat="false" ht="15" hidden="false" customHeight="false" outlineLevel="0" collapsed="false">
      <c r="A114" s="12" t="s">
        <v>582</v>
      </c>
      <c r="B114" s="13" t="s">
        <v>583</v>
      </c>
      <c r="C114" s="13" t="s">
        <v>45</v>
      </c>
      <c r="D114" s="13" t="s">
        <v>282</v>
      </c>
      <c r="E114" s="13" t="s">
        <v>216</v>
      </c>
      <c r="F114" s="20" t="s">
        <v>761</v>
      </c>
      <c r="G114" s="13"/>
      <c r="H114" s="13"/>
      <c r="I114" s="13"/>
      <c r="J114" s="13"/>
    </row>
    <row r="115" customFormat="false" ht="15" hidden="false" customHeight="false" outlineLevel="0" collapsed="false">
      <c r="A115" s="15" t="s">
        <v>585</v>
      </c>
      <c r="B115" s="16" t="s">
        <v>586</v>
      </c>
      <c r="C115" s="16" t="s">
        <v>46</v>
      </c>
      <c r="D115" s="16" t="s">
        <v>282</v>
      </c>
      <c r="E115" s="16" t="s">
        <v>216</v>
      </c>
      <c r="F115" s="20" t="s">
        <v>761</v>
      </c>
      <c r="G115" s="16"/>
      <c r="H115" s="16"/>
      <c r="I115" s="16"/>
      <c r="J115" s="16"/>
    </row>
    <row r="116" customFormat="false" ht="15" hidden="false" customHeight="false" outlineLevel="0" collapsed="false">
      <c r="A116" s="12" t="s">
        <v>589</v>
      </c>
      <c r="B116" s="13" t="s">
        <v>590</v>
      </c>
      <c r="C116" s="13" t="s">
        <v>46</v>
      </c>
      <c r="D116" s="13" t="s">
        <v>282</v>
      </c>
      <c r="E116" s="13" t="s">
        <v>216</v>
      </c>
      <c r="F116" s="20" t="s">
        <v>761</v>
      </c>
      <c r="G116" s="13"/>
      <c r="H116" s="13"/>
      <c r="I116" s="13"/>
      <c r="J116" s="13"/>
    </row>
    <row r="117" customFormat="false" ht="15" hidden="false" customHeight="false" outlineLevel="0" collapsed="false">
      <c r="A117" s="15" t="s">
        <v>593</v>
      </c>
      <c r="B117" s="16" t="s">
        <v>594</v>
      </c>
      <c r="C117" s="16" t="s">
        <v>45</v>
      </c>
      <c r="D117" s="16" t="s">
        <v>282</v>
      </c>
      <c r="E117" s="16" t="s">
        <v>216</v>
      </c>
      <c r="F117" s="20" t="s">
        <v>761</v>
      </c>
      <c r="G117" s="16"/>
      <c r="H117" s="16"/>
      <c r="I117" s="16"/>
      <c r="J117" s="16"/>
    </row>
    <row r="118" customFormat="false" ht="15" hidden="false" customHeight="false" outlineLevel="0" collapsed="false">
      <c r="A118" s="12" t="s">
        <v>596</v>
      </c>
      <c r="B118" s="13" t="s">
        <v>597</v>
      </c>
      <c r="C118" s="13" t="s">
        <v>46</v>
      </c>
      <c r="D118" s="13" t="s">
        <v>282</v>
      </c>
      <c r="E118" s="13" t="s">
        <v>216</v>
      </c>
      <c r="F118" s="20" t="s">
        <v>761</v>
      </c>
      <c r="G118" s="13"/>
      <c r="H118" s="13"/>
      <c r="I118" s="13"/>
      <c r="J118" s="13"/>
    </row>
    <row r="119" customFormat="false" ht="15" hidden="false" customHeight="false" outlineLevel="0" collapsed="false">
      <c r="A119" s="15" t="s">
        <v>599</v>
      </c>
      <c r="B119" s="16" t="s">
        <v>600</v>
      </c>
      <c r="C119" s="16" t="s">
        <v>46</v>
      </c>
      <c r="D119" s="16" t="s">
        <v>282</v>
      </c>
      <c r="E119" s="16" t="s">
        <v>216</v>
      </c>
      <c r="F119" s="20" t="s">
        <v>761</v>
      </c>
      <c r="G119" s="16"/>
      <c r="H119" s="16"/>
      <c r="I119" s="16"/>
      <c r="J119" s="16"/>
    </row>
    <row r="120" customFormat="false" ht="15" hidden="false" customHeight="false" outlineLevel="0" collapsed="false">
      <c r="A120" s="12" t="s">
        <v>602</v>
      </c>
      <c r="B120" s="13" t="s">
        <v>604</v>
      </c>
      <c r="C120" s="13" t="s">
        <v>45</v>
      </c>
      <c r="D120" s="13" t="s">
        <v>603</v>
      </c>
      <c r="E120" s="13" t="s">
        <v>205</v>
      </c>
      <c r="F120" s="20" t="s">
        <v>761</v>
      </c>
      <c r="G120" s="13"/>
      <c r="H120" s="13"/>
      <c r="I120" s="13"/>
      <c r="J120" s="13"/>
    </row>
    <row r="121" customFormat="false" ht="15" hidden="false" customHeight="false" outlineLevel="0" collapsed="false">
      <c r="A121" s="15" t="s">
        <v>607</v>
      </c>
      <c r="B121" s="16" t="s">
        <v>608</v>
      </c>
      <c r="C121" s="16" t="s">
        <v>46</v>
      </c>
      <c r="D121" s="16" t="s">
        <v>603</v>
      </c>
      <c r="E121" s="16" t="s">
        <v>216</v>
      </c>
      <c r="F121" s="20" t="s">
        <v>761</v>
      </c>
      <c r="G121" s="16"/>
      <c r="H121" s="16"/>
      <c r="I121" s="16"/>
      <c r="J121" s="16"/>
    </row>
    <row r="122" customFormat="false" ht="15" hidden="false" customHeight="false" outlineLevel="0" collapsed="false">
      <c r="A122" s="12" t="s">
        <v>610</v>
      </c>
      <c r="B122" s="13" t="s">
        <v>611</v>
      </c>
      <c r="C122" s="13" t="s">
        <v>44</v>
      </c>
      <c r="D122" s="13" t="s">
        <v>164</v>
      </c>
      <c r="E122" s="13" t="s">
        <v>205</v>
      </c>
      <c r="F122" s="20" t="s">
        <v>761</v>
      </c>
      <c r="G122" s="13"/>
      <c r="H122" s="13"/>
      <c r="I122" s="13"/>
      <c r="J122" s="13"/>
    </row>
    <row r="123" customFormat="false" ht="15" hidden="false" customHeight="false" outlineLevel="0" collapsed="false">
      <c r="A123" s="15" t="s">
        <v>614</v>
      </c>
      <c r="B123" s="16" t="s">
        <v>615</v>
      </c>
      <c r="C123" s="16" t="s">
        <v>44</v>
      </c>
      <c r="D123" s="16" t="s">
        <v>164</v>
      </c>
      <c r="E123" s="16" t="s">
        <v>216</v>
      </c>
      <c r="F123" s="20" t="s">
        <v>761</v>
      </c>
      <c r="G123" s="16"/>
      <c r="H123" s="16"/>
      <c r="I123" s="16"/>
      <c r="J123" s="16"/>
    </row>
    <row r="124" customFormat="false" ht="15" hidden="false" customHeight="false" outlineLevel="0" collapsed="false">
      <c r="A124" s="12" t="s">
        <v>617</v>
      </c>
      <c r="B124" s="13" t="s">
        <v>619</v>
      </c>
      <c r="C124" s="13" t="s">
        <v>44</v>
      </c>
      <c r="D124" s="13" t="s">
        <v>618</v>
      </c>
      <c r="E124" s="13" t="s">
        <v>216</v>
      </c>
      <c r="F124" s="20" t="s">
        <v>761</v>
      </c>
      <c r="G124" s="13"/>
      <c r="H124" s="13"/>
      <c r="I124" s="13"/>
      <c r="J124" s="13"/>
    </row>
    <row r="125" customFormat="false" ht="15" hidden="false" customHeight="false" outlineLevel="0" collapsed="false">
      <c r="A125" s="15" t="s">
        <v>622</v>
      </c>
      <c r="B125" s="16" t="s">
        <v>623</v>
      </c>
      <c r="C125" s="16" t="s">
        <v>45</v>
      </c>
      <c r="D125" s="16" t="s">
        <v>618</v>
      </c>
      <c r="E125" s="16" t="s">
        <v>216</v>
      </c>
      <c r="F125" s="20" t="s">
        <v>761</v>
      </c>
      <c r="G125" s="16"/>
      <c r="H125" s="16"/>
      <c r="I125" s="16"/>
      <c r="J125" s="16"/>
    </row>
    <row r="126" customFormat="false" ht="15" hidden="false" customHeight="false" outlineLevel="0" collapsed="false">
      <c r="A126" s="12" t="s">
        <v>625</v>
      </c>
      <c r="B126" s="13" t="s">
        <v>626</v>
      </c>
      <c r="C126" s="13" t="s">
        <v>45</v>
      </c>
      <c r="D126" s="13" t="s">
        <v>618</v>
      </c>
      <c r="E126" s="13" t="s">
        <v>216</v>
      </c>
      <c r="F126" s="20" t="s">
        <v>761</v>
      </c>
      <c r="G126" s="13"/>
      <c r="H126" s="13"/>
      <c r="I126" s="13"/>
      <c r="J126" s="13"/>
    </row>
    <row r="127" customFormat="false" ht="15" hidden="false" customHeight="false" outlineLevel="0" collapsed="false">
      <c r="A127" s="15" t="s">
        <v>628</v>
      </c>
      <c r="B127" s="16" t="s">
        <v>629</v>
      </c>
      <c r="C127" s="16" t="s">
        <v>45</v>
      </c>
      <c r="D127" s="16" t="s">
        <v>618</v>
      </c>
      <c r="E127" s="16" t="s">
        <v>216</v>
      </c>
      <c r="F127" s="20" t="s">
        <v>761</v>
      </c>
      <c r="G127" s="16"/>
      <c r="H127" s="16"/>
      <c r="I127" s="16"/>
      <c r="J127" s="16"/>
    </row>
    <row r="128" customFormat="false" ht="15" hidden="false" customHeight="false" outlineLevel="0" collapsed="false">
      <c r="A128" s="12" t="s">
        <v>632</v>
      </c>
      <c r="B128" s="13" t="s">
        <v>633</v>
      </c>
      <c r="C128" s="13" t="s">
        <v>45</v>
      </c>
      <c r="D128" s="13" t="s">
        <v>618</v>
      </c>
      <c r="E128" s="13" t="s">
        <v>216</v>
      </c>
      <c r="F128" s="20" t="s">
        <v>761</v>
      </c>
      <c r="G128" s="13"/>
      <c r="H128" s="13"/>
      <c r="I128" s="13"/>
      <c r="J128" s="13"/>
    </row>
    <row r="129" customFormat="false" ht="15" hidden="false" customHeight="false" outlineLevel="0" collapsed="false">
      <c r="A129" s="15" t="s">
        <v>635</v>
      </c>
      <c r="B129" s="16" t="s">
        <v>636</v>
      </c>
      <c r="C129" s="16" t="s">
        <v>46</v>
      </c>
      <c r="D129" s="16" t="s">
        <v>618</v>
      </c>
      <c r="E129" s="16" t="s">
        <v>216</v>
      </c>
      <c r="F129" s="20" t="s">
        <v>761</v>
      </c>
      <c r="G129" s="16"/>
      <c r="H129" s="16"/>
      <c r="I129" s="16"/>
      <c r="J129" s="16"/>
    </row>
    <row r="130" customFormat="false" ht="15" hidden="false" customHeight="false" outlineLevel="0" collapsed="false">
      <c r="A130" s="12" t="s">
        <v>638</v>
      </c>
      <c r="B130" s="13" t="s">
        <v>639</v>
      </c>
      <c r="C130" s="13" t="s">
        <v>46</v>
      </c>
      <c r="D130" s="13" t="s">
        <v>618</v>
      </c>
      <c r="E130" s="13" t="s">
        <v>216</v>
      </c>
      <c r="F130" s="20" t="s">
        <v>761</v>
      </c>
      <c r="G130" s="13"/>
      <c r="H130" s="13"/>
      <c r="I130" s="13"/>
      <c r="J130" s="13"/>
    </row>
    <row r="131" customFormat="false" ht="15" hidden="false" customHeight="false" outlineLevel="0" collapsed="false">
      <c r="A131" s="15" t="s">
        <v>642</v>
      </c>
      <c r="B131" s="16" t="s">
        <v>643</v>
      </c>
      <c r="C131" s="16" t="s">
        <v>45</v>
      </c>
      <c r="D131" s="16" t="s">
        <v>618</v>
      </c>
      <c r="E131" s="16" t="s">
        <v>216</v>
      </c>
      <c r="F131" s="20" t="s">
        <v>761</v>
      </c>
      <c r="G131" s="16"/>
      <c r="H131" s="16"/>
      <c r="I131" s="16"/>
      <c r="J131" s="16"/>
    </row>
    <row r="132" customFormat="false" ht="15" hidden="false" customHeight="false" outlineLevel="0" collapsed="false">
      <c r="A132" s="12" t="s">
        <v>645</v>
      </c>
      <c r="B132" s="13" t="s">
        <v>646</v>
      </c>
      <c r="C132" s="13" t="s">
        <v>44</v>
      </c>
      <c r="D132" s="13" t="s">
        <v>289</v>
      </c>
      <c r="E132" s="13" t="s">
        <v>216</v>
      </c>
      <c r="F132" s="20" t="s">
        <v>761</v>
      </c>
      <c r="G132" s="13"/>
      <c r="H132" s="13"/>
      <c r="I132" s="13"/>
      <c r="J132" s="13"/>
    </row>
    <row r="133" customFormat="false" ht="15" hidden="false" customHeight="false" outlineLevel="0" collapsed="false">
      <c r="A133" s="15" t="s">
        <v>649</v>
      </c>
      <c r="B133" s="16" t="s">
        <v>650</v>
      </c>
      <c r="C133" s="16" t="s">
        <v>44</v>
      </c>
      <c r="D133" s="16" t="s">
        <v>289</v>
      </c>
      <c r="E133" s="16" t="s">
        <v>216</v>
      </c>
      <c r="F133" s="20" t="s">
        <v>761</v>
      </c>
      <c r="G133" s="16"/>
      <c r="H133" s="16"/>
      <c r="I133" s="16"/>
      <c r="J133" s="16"/>
    </row>
    <row r="134" customFormat="false" ht="23.85" hidden="false" customHeight="false" outlineLevel="0" collapsed="false">
      <c r="A134" s="12" t="s">
        <v>652</v>
      </c>
      <c r="B134" s="13" t="s">
        <v>653</v>
      </c>
      <c r="C134" s="13" t="s">
        <v>43</v>
      </c>
      <c r="D134" s="13" t="s">
        <v>289</v>
      </c>
      <c r="E134" s="13" t="s">
        <v>216</v>
      </c>
      <c r="F134" s="20" t="s">
        <v>761</v>
      </c>
      <c r="G134" s="13"/>
      <c r="H134" s="13"/>
      <c r="I134" s="13"/>
      <c r="J134" s="13"/>
    </row>
    <row r="135" customFormat="false" ht="15" hidden="false" customHeight="false" outlineLevel="0" collapsed="false">
      <c r="A135" s="15" t="s">
        <v>656</v>
      </c>
      <c r="B135" s="16" t="s">
        <v>657</v>
      </c>
      <c r="C135" s="16" t="s">
        <v>44</v>
      </c>
      <c r="D135" s="16" t="s">
        <v>289</v>
      </c>
      <c r="E135" s="16" t="s">
        <v>216</v>
      </c>
      <c r="F135" s="20" t="s">
        <v>761</v>
      </c>
      <c r="G135" s="16"/>
      <c r="H135" s="16"/>
      <c r="I135" s="16"/>
      <c r="J135" s="16"/>
    </row>
    <row r="136" customFormat="false" ht="15" hidden="false" customHeight="false" outlineLevel="0" collapsed="false">
      <c r="A136" s="12" t="s">
        <v>659</v>
      </c>
      <c r="B136" s="13" t="s">
        <v>660</v>
      </c>
      <c r="C136" s="13" t="s">
        <v>45</v>
      </c>
      <c r="D136" s="13" t="s">
        <v>289</v>
      </c>
      <c r="E136" s="13" t="s">
        <v>216</v>
      </c>
      <c r="F136" s="20" t="s">
        <v>761</v>
      </c>
      <c r="G136" s="13"/>
      <c r="H136" s="13"/>
      <c r="I136" s="13"/>
      <c r="J136" s="13"/>
    </row>
    <row r="137" customFormat="false" ht="15" hidden="false" customHeight="false" outlineLevel="0" collapsed="false">
      <c r="A137" s="15" t="s">
        <v>663</v>
      </c>
      <c r="B137" s="16" t="s">
        <v>664</v>
      </c>
      <c r="C137" s="16" t="s">
        <v>46</v>
      </c>
      <c r="D137" s="16" t="s">
        <v>289</v>
      </c>
      <c r="E137" s="16" t="s">
        <v>216</v>
      </c>
      <c r="F137" s="20" t="s">
        <v>761</v>
      </c>
      <c r="G137" s="16"/>
      <c r="H137" s="16"/>
      <c r="I137" s="16"/>
      <c r="J137" s="16"/>
    </row>
    <row r="138" customFormat="false" ht="15" hidden="false" customHeight="false" outlineLevel="0" collapsed="false">
      <c r="A138" s="12" t="s">
        <v>667</v>
      </c>
      <c r="B138" s="13" t="s">
        <v>668</v>
      </c>
      <c r="C138" s="13" t="s">
        <v>46</v>
      </c>
      <c r="D138" s="13" t="s">
        <v>289</v>
      </c>
      <c r="E138" s="13" t="s">
        <v>216</v>
      </c>
      <c r="F138" s="20" t="s">
        <v>761</v>
      </c>
      <c r="G138" s="13"/>
      <c r="H138" s="13"/>
      <c r="I138" s="13"/>
      <c r="J138" s="13"/>
    </row>
    <row r="139" customFormat="false" ht="15" hidden="false" customHeight="false" outlineLevel="0" collapsed="false">
      <c r="A139" s="15" t="s">
        <v>671</v>
      </c>
      <c r="B139" s="16" t="s">
        <v>672</v>
      </c>
      <c r="C139" s="16" t="s">
        <v>45</v>
      </c>
      <c r="D139" s="16" t="s">
        <v>289</v>
      </c>
      <c r="E139" s="16" t="s">
        <v>216</v>
      </c>
      <c r="F139" s="20" t="s">
        <v>761</v>
      </c>
      <c r="G139" s="16"/>
      <c r="H139" s="16"/>
      <c r="I139" s="16"/>
      <c r="J139" s="16"/>
    </row>
    <row r="140" customFormat="false" ht="15" hidden="false" customHeight="false" outlineLevel="0" collapsed="false">
      <c r="A140" s="12" t="s">
        <v>674</v>
      </c>
      <c r="B140" s="13" t="s">
        <v>675</v>
      </c>
      <c r="C140" s="13" t="s">
        <v>44</v>
      </c>
      <c r="D140" s="13" t="s">
        <v>289</v>
      </c>
      <c r="E140" s="13" t="s">
        <v>216</v>
      </c>
      <c r="F140" s="20" t="s">
        <v>761</v>
      </c>
      <c r="G140" s="13"/>
      <c r="H140" s="13"/>
      <c r="I140" s="13"/>
      <c r="J140" s="13"/>
    </row>
    <row r="141" customFormat="false" ht="15" hidden="false" customHeight="false" outlineLevel="0" collapsed="false">
      <c r="A141" s="15" t="s">
        <v>677</v>
      </c>
      <c r="B141" s="16" t="s">
        <v>678</v>
      </c>
      <c r="C141" s="16" t="s">
        <v>45</v>
      </c>
      <c r="D141" s="16" t="s">
        <v>174</v>
      </c>
      <c r="E141" s="16" t="s">
        <v>216</v>
      </c>
      <c r="F141" s="20" t="s">
        <v>761</v>
      </c>
      <c r="G141" s="16"/>
      <c r="H141" s="16"/>
      <c r="I141" s="16"/>
      <c r="J141" s="16"/>
    </row>
    <row r="142" customFormat="false" ht="15" hidden="false" customHeight="false" outlineLevel="0" collapsed="false">
      <c r="A142" s="12" t="s">
        <v>680</v>
      </c>
      <c r="B142" s="13" t="s">
        <v>681</v>
      </c>
      <c r="C142" s="13" t="s">
        <v>45</v>
      </c>
      <c r="D142" s="13" t="s">
        <v>174</v>
      </c>
      <c r="E142" s="13" t="s">
        <v>216</v>
      </c>
      <c r="F142" s="20" t="s">
        <v>761</v>
      </c>
      <c r="G142" s="13"/>
      <c r="H142" s="13"/>
      <c r="I142" s="13"/>
      <c r="J142" s="13"/>
    </row>
    <row r="143" customFormat="false" ht="15" hidden="false" customHeight="false" outlineLevel="0" collapsed="false">
      <c r="A143" s="15" t="s">
        <v>683</v>
      </c>
      <c r="B143" s="16" t="s">
        <v>684</v>
      </c>
      <c r="C143" s="16" t="s">
        <v>45</v>
      </c>
      <c r="D143" s="16" t="s">
        <v>174</v>
      </c>
      <c r="E143" s="16" t="s">
        <v>216</v>
      </c>
      <c r="F143" s="20" t="s">
        <v>761</v>
      </c>
      <c r="G143" s="16"/>
      <c r="H143" s="16"/>
      <c r="I143" s="16"/>
      <c r="J143" s="16"/>
    </row>
    <row r="144" customFormat="false" ht="15" hidden="false" customHeight="false" outlineLevel="0" collapsed="false">
      <c r="A144" s="12" t="s">
        <v>686</v>
      </c>
      <c r="B144" s="13" t="s">
        <v>687</v>
      </c>
      <c r="C144" s="13" t="s">
        <v>45</v>
      </c>
      <c r="D144" s="13" t="s">
        <v>174</v>
      </c>
      <c r="E144" s="13" t="s">
        <v>216</v>
      </c>
      <c r="F144" s="20" t="s">
        <v>761</v>
      </c>
      <c r="G144" s="13"/>
      <c r="H144" s="13"/>
      <c r="I144" s="13"/>
      <c r="J144" s="13"/>
    </row>
    <row r="145" customFormat="false" ht="15" hidden="false" customHeight="false" outlineLevel="0" collapsed="false">
      <c r="A145" s="15" t="s">
        <v>690</v>
      </c>
      <c r="B145" s="16" t="s">
        <v>691</v>
      </c>
      <c r="C145" s="16" t="s">
        <v>46</v>
      </c>
      <c r="D145" s="16" t="s">
        <v>174</v>
      </c>
      <c r="E145" s="16" t="s">
        <v>216</v>
      </c>
      <c r="F145" s="20" t="s">
        <v>761</v>
      </c>
      <c r="G145" s="16"/>
      <c r="H145" s="16"/>
      <c r="I145" s="16"/>
      <c r="J145" s="16"/>
    </row>
    <row r="146" customFormat="false" ht="15" hidden="false" customHeight="false" outlineLevel="0" collapsed="false">
      <c r="A146" s="12" t="s">
        <v>693</v>
      </c>
      <c r="B146" s="13" t="s">
        <v>694</v>
      </c>
      <c r="C146" s="13" t="s">
        <v>46</v>
      </c>
      <c r="D146" s="13" t="s">
        <v>174</v>
      </c>
      <c r="E146" s="13" t="s">
        <v>216</v>
      </c>
      <c r="F146" s="20" t="s">
        <v>761</v>
      </c>
      <c r="G146" s="13"/>
      <c r="H146" s="13"/>
      <c r="I146" s="13"/>
      <c r="J146" s="13"/>
    </row>
    <row r="147" customFormat="false" ht="15" hidden="false" customHeight="false" outlineLevel="0" collapsed="false">
      <c r="A147" s="15" t="s">
        <v>696</v>
      </c>
      <c r="B147" s="16" t="s">
        <v>697</v>
      </c>
      <c r="C147" s="16" t="s">
        <v>46</v>
      </c>
      <c r="D147" s="16" t="s">
        <v>174</v>
      </c>
      <c r="E147" s="16" t="s">
        <v>216</v>
      </c>
      <c r="F147" s="20" t="s">
        <v>761</v>
      </c>
      <c r="G147" s="16"/>
      <c r="H147" s="16"/>
      <c r="I147" s="16"/>
      <c r="J147" s="16"/>
    </row>
    <row r="148" customFormat="false" ht="15" hidden="false" customHeight="false" outlineLevel="0" collapsed="false">
      <c r="A148" s="12" t="s">
        <v>699</v>
      </c>
      <c r="B148" s="13" t="s">
        <v>700</v>
      </c>
      <c r="C148" s="13" t="s">
        <v>46</v>
      </c>
      <c r="D148" s="13" t="s">
        <v>174</v>
      </c>
      <c r="E148" s="13" t="s">
        <v>216</v>
      </c>
      <c r="F148" s="20" t="s">
        <v>761</v>
      </c>
      <c r="G148" s="13"/>
      <c r="H148" s="13"/>
      <c r="I148" s="13"/>
      <c r="J148" s="13"/>
    </row>
    <row r="149" customFormat="false" ht="15" hidden="false" customHeight="false" outlineLevel="0" collapsed="false">
      <c r="A149" s="15" t="s">
        <v>703</v>
      </c>
      <c r="B149" s="16" t="s">
        <v>705</v>
      </c>
      <c r="C149" s="16" t="s">
        <v>44</v>
      </c>
      <c r="D149" s="16" t="s">
        <v>704</v>
      </c>
      <c r="E149" s="16" t="s">
        <v>216</v>
      </c>
      <c r="F149" s="20" t="s">
        <v>761</v>
      </c>
      <c r="G149" s="16"/>
      <c r="H149" s="16"/>
      <c r="I149" s="16"/>
      <c r="J149" s="16"/>
    </row>
    <row r="150" customFormat="false" ht="15" hidden="false" customHeight="false" outlineLevel="0" collapsed="false">
      <c r="A150" s="12" t="s">
        <v>707</v>
      </c>
      <c r="B150" s="13" t="s">
        <v>708</v>
      </c>
      <c r="C150" s="13" t="s">
        <v>46</v>
      </c>
      <c r="D150" s="13" t="s">
        <v>704</v>
      </c>
      <c r="E150" s="13" t="s">
        <v>216</v>
      </c>
      <c r="F150" s="20" t="s">
        <v>761</v>
      </c>
      <c r="G150" s="13"/>
      <c r="H150" s="13"/>
      <c r="I150" s="13"/>
      <c r="J150" s="13"/>
    </row>
    <row r="151" customFormat="false" ht="15" hidden="false" customHeight="false" outlineLevel="0" collapsed="false">
      <c r="A151" s="15" t="s">
        <v>710</v>
      </c>
      <c r="B151" s="16" t="s">
        <v>711</v>
      </c>
      <c r="C151" s="16" t="s">
        <v>46</v>
      </c>
      <c r="D151" s="16" t="s">
        <v>704</v>
      </c>
      <c r="E151" s="16" t="s">
        <v>216</v>
      </c>
      <c r="F151" s="20" t="s">
        <v>761</v>
      </c>
      <c r="G151" s="16"/>
      <c r="H151" s="16"/>
      <c r="I151" s="16"/>
      <c r="J151" s="16"/>
    </row>
    <row r="152" customFormat="false" ht="15" hidden="false" customHeight="false" outlineLevel="0" collapsed="false">
      <c r="A152" s="12" t="s">
        <v>714</v>
      </c>
      <c r="B152" s="13" t="s">
        <v>715</v>
      </c>
      <c r="C152" s="13" t="s">
        <v>46</v>
      </c>
      <c r="D152" s="13" t="s">
        <v>704</v>
      </c>
      <c r="E152" s="13" t="s">
        <v>216</v>
      </c>
      <c r="F152" s="20" t="s">
        <v>761</v>
      </c>
      <c r="G152" s="13"/>
      <c r="H152" s="13"/>
      <c r="I152" s="13"/>
      <c r="J152" s="13"/>
    </row>
    <row r="153" customFormat="false" ht="15" hidden="false" customHeight="false" outlineLevel="0" collapsed="false">
      <c r="A153" s="15" t="s">
        <v>131</v>
      </c>
      <c r="B153" s="16" t="s">
        <v>718</v>
      </c>
      <c r="C153" s="16" t="s">
        <v>46</v>
      </c>
      <c r="D153" s="16" t="s">
        <v>717</v>
      </c>
      <c r="E153" s="16" t="s">
        <v>216</v>
      </c>
      <c r="F153" s="20" t="s">
        <v>761</v>
      </c>
      <c r="G153" s="16"/>
      <c r="H153" s="16"/>
      <c r="I153" s="16"/>
      <c r="J153" s="16"/>
    </row>
    <row r="154" customFormat="false" ht="15" hidden="false" customHeight="false" outlineLevel="0" collapsed="false">
      <c r="A154" s="12" t="s">
        <v>721</v>
      </c>
      <c r="B154" s="13" t="s">
        <v>723</v>
      </c>
      <c r="C154" s="13" t="s">
        <v>46</v>
      </c>
      <c r="D154" s="13" t="s">
        <v>722</v>
      </c>
      <c r="E154" s="13" t="s">
        <v>216</v>
      </c>
      <c r="F154" s="20" t="s">
        <v>761</v>
      </c>
      <c r="G154" s="13"/>
      <c r="H154" s="13"/>
      <c r="I154" s="13"/>
      <c r="J154" s="13"/>
    </row>
    <row r="155" customFormat="false" ht="15" hidden="false" customHeight="false" outlineLevel="0" collapsed="false">
      <c r="A155" s="15" t="s">
        <v>725</v>
      </c>
      <c r="B155" s="16" t="s">
        <v>726</v>
      </c>
      <c r="C155" s="16" t="s">
        <v>46</v>
      </c>
      <c r="D155" s="16" t="s">
        <v>722</v>
      </c>
      <c r="E155" s="16" t="s">
        <v>216</v>
      </c>
      <c r="F155" s="20" t="s">
        <v>761</v>
      </c>
      <c r="G155" s="16"/>
      <c r="H155" s="16"/>
      <c r="I155" s="16"/>
      <c r="J155" s="16"/>
    </row>
    <row r="156" customFormat="false" ht="15" hidden="false" customHeight="false" outlineLevel="0" collapsed="false">
      <c r="A156" s="12" t="s">
        <v>728</v>
      </c>
      <c r="B156" s="13" t="s">
        <v>729</v>
      </c>
      <c r="C156" s="13" t="s">
        <v>46</v>
      </c>
      <c r="D156" s="13" t="s">
        <v>722</v>
      </c>
      <c r="E156" s="13" t="s">
        <v>216</v>
      </c>
      <c r="F156" s="20" t="s">
        <v>761</v>
      </c>
      <c r="G156" s="13"/>
      <c r="H156" s="13"/>
      <c r="I156" s="13"/>
      <c r="J156" s="13"/>
    </row>
    <row r="157" customFormat="false" ht="15" hidden="false" customHeight="false" outlineLevel="0" collapsed="false">
      <c r="A157" s="15" t="s">
        <v>731</v>
      </c>
      <c r="B157" s="16" t="s">
        <v>732</v>
      </c>
      <c r="C157" s="16" t="s">
        <v>46</v>
      </c>
      <c r="D157" s="16" t="s">
        <v>722</v>
      </c>
      <c r="E157" s="16" t="s">
        <v>216</v>
      </c>
      <c r="F157" s="20" t="s">
        <v>761</v>
      </c>
      <c r="G157" s="16"/>
      <c r="H157" s="16"/>
      <c r="I157" s="16"/>
      <c r="J157" s="16"/>
    </row>
    <row r="158" customFormat="false" ht="15" hidden="false" customHeight="false" outlineLevel="0" collapsed="false">
      <c r="A158" s="12" t="s">
        <v>734</v>
      </c>
      <c r="B158" s="13" t="s">
        <v>735</v>
      </c>
      <c r="C158" s="13" t="s">
        <v>46</v>
      </c>
      <c r="D158" s="13" t="s">
        <v>722</v>
      </c>
      <c r="E158" s="13" t="s">
        <v>216</v>
      </c>
      <c r="F158" s="20" t="s">
        <v>761</v>
      </c>
      <c r="G158" s="13"/>
      <c r="H158" s="13"/>
      <c r="I158" s="13"/>
      <c r="J158" s="13"/>
    </row>
    <row r="159" customFormat="false" ht="15" hidden="false" customHeight="false" outlineLevel="0" collapsed="false">
      <c r="A159" s="15" t="s">
        <v>737</v>
      </c>
      <c r="B159" s="16" t="s">
        <v>738</v>
      </c>
      <c r="C159" s="16" t="s">
        <v>46</v>
      </c>
      <c r="D159" s="16" t="s">
        <v>722</v>
      </c>
      <c r="E159" s="16" t="s">
        <v>216</v>
      </c>
      <c r="F159" s="20" t="s">
        <v>761</v>
      </c>
      <c r="G159" s="16"/>
      <c r="H159" s="16"/>
      <c r="I159" s="16"/>
      <c r="J159" s="16"/>
    </row>
  </sheetData>
  <autoFilter ref="A1:J159"/>
  <conditionalFormatting sqref="F2:F159">
    <cfRule type="cellIs" priority="2" operator="equal" aboveAverage="0" equalAverage="0" bottom="0" percent="0" rank="0" text="" dxfId="10">
      <formula>"Pass"</formula>
    </cfRule>
    <cfRule type="cellIs" priority="3" operator="equal" aboveAverage="0" equalAverage="0" bottom="0" percent="0" rank="0" text="" dxfId="11">
      <formula>"Fail"</formula>
    </cfRule>
    <cfRule type="cellIs" priority="4" operator="equal" aboveAverage="0" equalAverage="0" bottom="0" percent="0" rank="0" text="" dxfId="12">
      <formula>"Blocked"</formula>
    </cfRule>
  </conditionalFormatting>
  <dataValidations count="1">
    <dataValidation allowBlank="false" errorStyle="stop" operator="between" showDropDown="false" showErrorMessage="false" showInputMessage="false" sqref="F2:F159" type="list">
      <formula1>"Not Run,Pass,Fail,Blocked,Skipped"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3" min="3" style="0" width="18"/>
  </cols>
  <sheetData>
    <row r="1" customFormat="false" ht="22.05" hidden="false" customHeight="true" outlineLevel="0" collapsed="false">
      <c r="A1" s="21" t="s">
        <v>762</v>
      </c>
      <c r="B1" s="21"/>
      <c r="C1" s="21"/>
      <c r="D1" s="21"/>
      <c r="E1" s="21"/>
    </row>
    <row r="2" customFormat="false" ht="15" hidden="false" customHeight="false" outlineLevel="0" collapsed="false">
      <c r="A2" s="22"/>
      <c r="B2" s="22"/>
      <c r="C2" s="22"/>
    </row>
    <row r="3" customFormat="false" ht="17.35" hidden="false" customHeight="false" outlineLevel="0" collapsed="false">
      <c r="A3" s="23" t="s">
        <v>763</v>
      </c>
      <c r="B3" s="22"/>
      <c r="C3" s="22"/>
    </row>
    <row r="4" customFormat="false" ht="27.75" hidden="false" customHeight="true" outlineLevel="0" collapsed="false">
      <c r="A4" s="24" t="s">
        <v>764</v>
      </c>
      <c r="B4" s="24" t="s">
        <v>765</v>
      </c>
      <c r="C4" s="24" t="s">
        <v>766</v>
      </c>
    </row>
    <row r="5" customFormat="false" ht="15" hidden="false" customHeight="false" outlineLevel="0" collapsed="false">
      <c r="A5" s="25" t="s">
        <v>767</v>
      </c>
      <c r="B5" s="25" t="n">
        <v>26</v>
      </c>
      <c r="C5" s="25" t="s">
        <v>768</v>
      </c>
    </row>
    <row r="6" customFormat="false" ht="15" hidden="false" customHeight="false" outlineLevel="0" collapsed="false">
      <c r="A6" s="25" t="s">
        <v>769</v>
      </c>
      <c r="B6" s="25" t="n">
        <v>18</v>
      </c>
      <c r="C6" s="26" t="n">
        <f aca="false">B6/B5</f>
        <v>0.692307692307692</v>
      </c>
    </row>
    <row r="7" customFormat="false" ht="15" hidden="false" customHeight="false" outlineLevel="0" collapsed="false">
      <c r="A7" s="25" t="s">
        <v>770</v>
      </c>
      <c r="B7" s="25" t="n">
        <v>8</v>
      </c>
      <c r="C7" s="26" t="n">
        <f aca="false">B7/B5</f>
        <v>0.307692307692308</v>
      </c>
    </row>
    <row r="8" customFormat="false" ht="15" hidden="false" customHeight="false" outlineLevel="0" collapsed="false">
      <c r="A8" s="25" t="s">
        <v>771</v>
      </c>
      <c r="B8" s="25" t="n">
        <v>26</v>
      </c>
      <c r="C8" s="26" t="n">
        <f aca="false">B8/B5</f>
        <v>1</v>
      </c>
    </row>
    <row r="9" customFormat="false" ht="15" hidden="false" customHeight="false" outlineLevel="0" collapsed="false">
      <c r="A9" s="25" t="s">
        <v>772</v>
      </c>
      <c r="B9" s="25" t="n">
        <v>0</v>
      </c>
      <c r="C9" s="26" t="n">
        <f aca="false">B9/B5</f>
        <v>0</v>
      </c>
    </row>
    <row r="10" customFormat="false" ht="15" hidden="false" customHeight="false" outlineLevel="0" collapsed="false">
      <c r="A10" s="22"/>
      <c r="B10" s="22"/>
      <c r="C10" s="22"/>
    </row>
    <row r="11" customFormat="false" ht="17.35" hidden="false" customHeight="false" outlineLevel="0" collapsed="false">
      <c r="A11" s="23" t="s">
        <v>773</v>
      </c>
      <c r="B11" s="22"/>
      <c r="C11" s="22"/>
    </row>
    <row r="12" customFormat="false" ht="27.75" hidden="false" customHeight="true" outlineLevel="0" collapsed="false">
      <c r="A12" s="24" t="s">
        <v>774</v>
      </c>
      <c r="B12" s="24" t="s">
        <v>765</v>
      </c>
      <c r="C12" s="24" t="s">
        <v>766</v>
      </c>
    </row>
    <row r="13" customFormat="false" ht="15" hidden="false" customHeight="false" outlineLevel="0" collapsed="false">
      <c r="A13" s="25" t="s">
        <v>775</v>
      </c>
      <c r="B13" s="25" t="n">
        <v>158</v>
      </c>
      <c r="C13" s="25" t="s">
        <v>768</v>
      </c>
    </row>
    <row r="14" customFormat="false" ht="15" hidden="false" customHeight="false" outlineLevel="0" collapsed="false">
      <c r="A14" s="25" t="s">
        <v>776</v>
      </c>
      <c r="B14" s="25" t="n">
        <v>20</v>
      </c>
      <c r="C14" s="26" t="n">
        <f aca="false">B14/B13</f>
        <v>0.126582278481013</v>
      </c>
    </row>
    <row r="15" customFormat="false" ht="15" hidden="false" customHeight="false" outlineLevel="0" collapsed="false">
      <c r="A15" s="25" t="s">
        <v>777</v>
      </c>
      <c r="B15" s="25" t="n">
        <v>41</v>
      </c>
      <c r="C15" s="26" t="n">
        <f aca="false">B15/B13</f>
        <v>0.259493670886076</v>
      </c>
    </row>
    <row r="16" customFormat="false" ht="15" hidden="false" customHeight="false" outlineLevel="0" collapsed="false">
      <c r="A16" s="25" t="s">
        <v>778</v>
      </c>
      <c r="B16" s="25" t="n">
        <v>53</v>
      </c>
      <c r="C16" s="26" t="n">
        <f aca="false">B16/B13</f>
        <v>0.335443037974684</v>
      </c>
    </row>
    <row r="17" customFormat="false" ht="15" hidden="false" customHeight="false" outlineLevel="0" collapsed="false">
      <c r="A17" s="25" t="s">
        <v>779</v>
      </c>
      <c r="B17" s="25" t="n">
        <v>44</v>
      </c>
      <c r="C17" s="26" t="n">
        <f aca="false">B17/B13</f>
        <v>0.278481012658228</v>
      </c>
    </row>
    <row r="18" customFormat="false" ht="15" hidden="false" customHeight="false" outlineLevel="0" collapsed="false">
      <c r="A18" s="25" t="s">
        <v>780</v>
      </c>
      <c r="B18" s="22"/>
      <c r="C18" s="22"/>
    </row>
    <row r="19" customFormat="false" ht="15" hidden="false" customHeight="false" outlineLevel="0" collapsed="false">
      <c r="A19" s="25" t="s">
        <v>781</v>
      </c>
      <c r="B19" s="25" t="n">
        <v>8</v>
      </c>
      <c r="C19" s="26" t="n">
        <f aca="false">B19/B13</f>
        <v>0.0506329113924051</v>
      </c>
    </row>
    <row r="20" customFormat="false" ht="15" hidden="false" customHeight="false" outlineLevel="0" collapsed="false">
      <c r="A20" s="25" t="s">
        <v>782</v>
      </c>
      <c r="B20" s="25" t="n">
        <v>69</v>
      </c>
      <c r="C20" s="26" t="n">
        <f aca="false">B20/B13</f>
        <v>0.436708860759494</v>
      </c>
    </row>
    <row r="21" customFormat="false" ht="15" hidden="false" customHeight="false" outlineLevel="0" collapsed="false">
      <c r="A21" s="25" t="s">
        <v>783</v>
      </c>
      <c r="B21" s="25" t="n">
        <v>81</v>
      </c>
      <c r="C21" s="26" t="n">
        <f aca="false">B21/B13</f>
        <v>0.512658227848101</v>
      </c>
    </row>
    <row r="22" customFormat="false" ht="15" hidden="false" customHeight="false" outlineLevel="0" collapsed="false">
      <c r="A22" s="22"/>
      <c r="B22" s="22"/>
      <c r="C22" s="22"/>
    </row>
    <row r="23" customFormat="false" ht="32.8" hidden="false" customHeight="false" outlineLevel="0" collapsed="false">
      <c r="A23" s="23" t="s">
        <v>784</v>
      </c>
      <c r="B23" s="22"/>
      <c r="C23" s="22"/>
    </row>
    <row r="24" customFormat="false" ht="27.75" hidden="false" customHeight="true" outlineLevel="0" collapsed="false">
      <c r="A24" s="24" t="s">
        <v>756</v>
      </c>
      <c r="B24" s="24" t="s">
        <v>765</v>
      </c>
      <c r="C24" s="24" t="s">
        <v>785</v>
      </c>
    </row>
    <row r="25" customFormat="false" ht="15" hidden="false" customHeight="false" outlineLevel="0" collapsed="false">
      <c r="A25" s="25" t="s">
        <v>761</v>
      </c>
      <c r="B25" s="25" t="n">
        <f aca="false">COUNTIF('Execution Log'!F2:F159,"Not Run")</f>
        <v>158</v>
      </c>
      <c r="C25" s="26" t="n">
        <f aca="false">B25/158</f>
        <v>1</v>
      </c>
    </row>
    <row r="26" customFormat="false" ht="15" hidden="false" customHeight="false" outlineLevel="0" collapsed="false">
      <c r="A26" s="25" t="s">
        <v>786</v>
      </c>
      <c r="B26" s="25" t="n">
        <f aca="false">COUNTIF('Execution Log'!F2:F159,"Pass")</f>
        <v>0</v>
      </c>
      <c r="C26" s="26" t="n">
        <f aca="false">B26/158</f>
        <v>0</v>
      </c>
    </row>
    <row r="27" customFormat="false" ht="15" hidden="false" customHeight="false" outlineLevel="0" collapsed="false">
      <c r="A27" s="25" t="s">
        <v>787</v>
      </c>
      <c r="B27" s="25" t="n">
        <f aca="false">COUNTIF('Execution Log'!F2:F159,"Fail")</f>
        <v>0</v>
      </c>
      <c r="C27" s="26" t="n">
        <f aca="false">B27/158</f>
        <v>0</v>
      </c>
    </row>
    <row r="28" customFormat="false" ht="15" hidden="false" customHeight="false" outlineLevel="0" collapsed="false">
      <c r="A28" s="25" t="s">
        <v>50</v>
      </c>
      <c r="B28" s="25" t="n">
        <f aca="false">COUNTIF('Execution Log'!F2:F159,"Blocked")</f>
        <v>0</v>
      </c>
      <c r="C28" s="26" t="n">
        <f aca="false">B28/158</f>
        <v>0</v>
      </c>
    </row>
    <row r="29" customFormat="false" ht="15" hidden="false" customHeight="false" outlineLevel="0" collapsed="false">
      <c r="A29" s="25" t="s">
        <v>788</v>
      </c>
      <c r="B29" s="25" t="n">
        <f aca="false">COUNTIF('Execution Log'!F2:F159,"Skipped")</f>
        <v>0</v>
      </c>
      <c r="C29" s="26" t="n">
        <f aca="false">B29/158</f>
        <v>0</v>
      </c>
    </row>
    <row r="30" customFormat="false" ht="15" hidden="false" customHeight="false" outlineLevel="0" collapsed="false">
      <c r="A30" s="22"/>
      <c r="B30" s="22"/>
      <c r="C30" s="22"/>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0"/>
    <col collapsed="false" customWidth="true" hidden="false" outlineLevel="0" max="3" min="3" style="0" width="11"/>
    <col collapsed="false" customWidth="true" hidden="false" outlineLevel="0" max="4" min="4" style="0" width="10"/>
    <col collapsed="false" customWidth="true" hidden="false" outlineLevel="0" max="5" min="5" style="0" width="18"/>
    <col collapsed="false" customWidth="true" hidden="false" outlineLevel="0" max="6" min="6" style="0" width="12"/>
    <col collapsed="false" customWidth="true" hidden="false" outlineLevel="0" max="8" min="7" style="0" width="14"/>
    <col collapsed="false" customWidth="true" hidden="false" outlineLevel="0" max="9" min="9" style="0" width="16"/>
    <col collapsed="false" customWidth="true" hidden="false" outlineLevel="0" max="10" min="10" style="0" width="36"/>
  </cols>
  <sheetData>
    <row r="1" customFormat="false" ht="22.05" hidden="false" customHeight="false" outlineLevel="0" collapsed="false">
      <c r="A1" s="27" t="s">
        <v>789</v>
      </c>
      <c r="B1" s="27"/>
      <c r="C1" s="27"/>
      <c r="D1" s="27"/>
      <c r="E1" s="27"/>
      <c r="F1" s="27"/>
      <c r="G1" s="27"/>
      <c r="H1" s="27"/>
    </row>
    <row r="2" customFormat="false" ht="36" hidden="false" customHeight="true" outlineLevel="0" collapsed="false">
      <c r="A2" s="28" t="s">
        <v>790</v>
      </c>
      <c r="B2" s="28"/>
      <c r="C2" s="28"/>
      <c r="D2" s="28"/>
      <c r="E2" s="28"/>
      <c r="F2" s="28"/>
      <c r="G2" s="28"/>
      <c r="H2" s="28"/>
    </row>
    <row r="4" customFormat="false" ht="31.5" hidden="false" customHeight="true" outlineLevel="0" collapsed="false">
      <c r="A4" s="7" t="s">
        <v>759</v>
      </c>
      <c r="B4" s="7" t="s">
        <v>190</v>
      </c>
      <c r="C4" s="7" t="s">
        <v>791</v>
      </c>
      <c r="D4" s="7" t="s">
        <v>191</v>
      </c>
      <c r="E4" s="7" t="s">
        <v>756</v>
      </c>
      <c r="F4" s="7" t="s">
        <v>792</v>
      </c>
      <c r="G4" s="7" t="s">
        <v>38</v>
      </c>
      <c r="H4" s="7" t="s">
        <v>793</v>
      </c>
      <c r="I4" s="7" t="s">
        <v>794</v>
      </c>
      <c r="J4" s="7" t="s">
        <v>760</v>
      </c>
    </row>
    <row r="5" customFormat="false" ht="15" hidden="false" customHeight="false" outlineLevel="0" collapsed="false">
      <c r="A5" s="13"/>
      <c r="B5" s="13"/>
      <c r="C5" s="13"/>
      <c r="D5" s="13"/>
      <c r="E5" s="13"/>
      <c r="F5" s="13"/>
      <c r="G5" s="13"/>
      <c r="H5" s="13"/>
      <c r="I5" s="13"/>
      <c r="J5" s="13"/>
    </row>
    <row r="6" customFormat="false" ht="15" hidden="false" customHeight="false" outlineLevel="0" collapsed="false">
      <c r="A6" s="16"/>
      <c r="B6" s="16"/>
      <c r="C6" s="16"/>
      <c r="D6" s="16"/>
      <c r="E6" s="16"/>
      <c r="F6" s="16"/>
      <c r="G6" s="16"/>
      <c r="H6" s="16"/>
      <c r="I6" s="16"/>
      <c r="J6" s="16"/>
    </row>
    <row r="7" customFormat="false" ht="15" hidden="false" customHeight="false" outlineLevel="0" collapsed="false">
      <c r="A7" s="13"/>
      <c r="B7" s="13"/>
      <c r="C7" s="13"/>
      <c r="D7" s="13"/>
      <c r="E7" s="13"/>
      <c r="F7" s="13"/>
      <c r="G7" s="13"/>
      <c r="H7" s="13"/>
      <c r="I7" s="13"/>
      <c r="J7" s="13"/>
    </row>
    <row r="8" customFormat="false" ht="15" hidden="false" customHeight="false" outlineLevel="0" collapsed="false">
      <c r="A8" s="16"/>
      <c r="B8" s="16"/>
      <c r="C8" s="16"/>
      <c r="D8" s="16"/>
      <c r="E8" s="16"/>
      <c r="F8" s="16"/>
      <c r="G8" s="16"/>
      <c r="H8" s="16"/>
      <c r="I8" s="16"/>
      <c r="J8" s="16"/>
    </row>
    <row r="9" customFormat="false" ht="15" hidden="false" customHeight="false" outlineLevel="0" collapsed="false">
      <c r="A9" s="13"/>
      <c r="B9" s="13"/>
      <c r="C9" s="13"/>
      <c r="D9" s="13"/>
      <c r="E9" s="13"/>
      <c r="F9" s="13"/>
      <c r="G9" s="13"/>
      <c r="H9" s="13"/>
      <c r="I9" s="13"/>
      <c r="J9" s="13"/>
    </row>
    <row r="10" customFormat="false" ht="15" hidden="false" customHeight="false" outlineLevel="0" collapsed="false">
      <c r="A10" s="16"/>
      <c r="B10" s="16"/>
      <c r="C10" s="16"/>
      <c r="D10" s="16"/>
      <c r="E10" s="16"/>
      <c r="F10" s="16"/>
      <c r="G10" s="16"/>
      <c r="H10" s="16"/>
      <c r="I10" s="16"/>
      <c r="J10" s="16"/>
    </row>
    <row r="11" customFormat="false" ht="15" hidden="false" customHeight="false" outlineLevel="0" collapsed="false">
      <c r="A11" s="13"/>
      <c r="B11" s="13"/>
      <c r="C11" s="13"/>
      <c r="D11" s="13"/>
      <c r="E11" s="13"/>
      <c r="F11" s="13"/>
      <c r="G11" s="13"/>
      <c r="H11" s="13"/>
      <c r="I11" s="13"/>
      <c r="J11" s="13"/>
    </row>
    <row r="12" customFormat="false" ht="15" hidden="false" customHeight="false" outlineLevel="0" collapsed="false">
      <c r="A12" s="16"/>
      <c r="B12" s="16"/>
      <c r="C12" s="16"/>
      <c r="D12" s="16"/>
      <c r="E12" s="16"/>
      <c r="F12" s="16"/>
      <c r="G12" s="16"/>
      <c r="H12" s="16"/>
      <c r="I12" s="16"/>
      <c r="J12" s="16"/>
    </row>
    <row r="13" customFormat="false" ht="15" hidden="false" customHeight="false" outlineLevel="0" collapsed="false">
      <c r="A13" s="13"/>
      <c r="B13" s="13"/>
      <c r="C13" s="13"/>
      <c r="D13" s="13"/>
      <c r="E13" s="13"/>
      <c r="F13" s="13"/>
      <c r="G13" s="13"/>
      <c r="H13" s="13"/>
      <c r="I13" s="13"/>
      <c r="J13" s="13"/>
    </row>
    <row r="14" customFormat="false" ht="15" hidden="false" customHeight="false" outlineLevel="0" collapsed="false">
      <c r="A14" s="16"/>
      <c r="B14" s="16"/>
      <c r="C14" s="16"/>
      <c r="D14" s="16"/>
      <c r="E14" s="16"/>
      <c r="F14" s="16"/>
      <c r="G14" s="16"/>
      <c r="H14" s="16"/>
      <c r="I14" s="16"/>
      <c r="J14" s="16"/>
    </row>
    <row r="15" customFormat="false" ht="15" hidden="false" customHeight="false" outlineLevel="0" collapsed="false">
      <c r="A15" s="13"/>
      <c r="B15" s="13"/>
      <c r="C15" s="13"/>
      <c r="D15" s="13"/>
      <c r="E15" s="13"/>
      <c r="F15" s="13"/>
      <c r="G15" s="13"/>
      <c r="H15" s="13"/>
      <c r="I15" s="13"/>
      <c r="J15" s="13"/>
    </row>
    <row r="16" customFormat="false" ht="15" hidden="false" customHeight="false" outlineLevel="0" collapsed="false">
      <c r="A16" s="16"/>
      <c r="B16" s="16"/>
      <c r="C16" s="16"/>
      <c r="D16" s="16"/>
      <c r="E16" s="16"/>
      <c r="F16" s="16"/>
      <c r="G16" s="16"/>
      <c r="H16" s="16"/>
      <c r="I16" s="16"/>
      <c r="J16" s="16"/>
    </row>
    <row r="17" customFormat="false" ht="15" hidden="false" customHeight="false" outlineLevel="0" collapsed="false">
      <c r="A17" s="13"/>
      <c r="B17" s="13"/>
      <c r="C17" s="13"/>
      <c r="D17" s="13"/>
      <c r="E17" s="13"/>
      <c r="F17" s="13"/>
      <c r="G17" s="13"/>
      <c r="H17" s="13"/>
      <c r="I17" s="13"/>
      <c r="J17" s="13"/>
    </row>
    <row r="18" customFormat="false" ht="15" hidden="false" customHeight="false" outlineLevel="0" collapsed="false">
      <c r="A18" s="16"/>
      <c r="B18" s="16"/>
      <c r="C18" s="16"/>
      <c r="D18" s="16"/>
      <c r="E18" s="16"/>
      <c r="F18" s="16"/>
      <c r="G18" s="16"/>
      <c r="H18" s="16"/>
      <c r="I18" s="16"/>
      <c r="J18" s="16"/>
    </row>
    <row r="19" customFormat="false" ht="15" hidden="false" customHeight="false" outlineLevel="0" collapsed="false">
      <c r="A19" s="13"/>
      <c r="B19" s="13"/>
      <c r="C19" s="13"/>
      <c r="D19" s="13"/>
      <c r="E19" s="13"/>
      <c r="F19" s="13"/>
      <c r="G19" s="13"/>
      <c r="H19" s="13"/>
      <c r="I19" s="13"/>
      <c r="J19" s="13"/>
    </row>
    <row r="20" customFormat="false" ht="15" hidden="false" customHeight="false" outlineLevel="0" collapsed="false">
      <c r="A20" s="16"/>
      <c r="B20" s="16"/>
      <c r="C20" s="16"/>
      <c r="D20" s="16"/>
      <c r="E20" s="16"/>
      <c r="F20" s="16"/>
      <c r="G20" s="16"/>
      <c r="H20" s="16"/>
      <c r="I20" s="16"/>
      <c r="J20" s="16"/>
    </row>
    <row r="21" customFormat="false" ht="15" hidden="false" customHeight="false" outlineLevel="0" collapsed="false">
      <c r="A21" s="13"/>
      <c r="B21" s="13"/>
      <c r="C21" s="13"/>
      <c r="D21" s="13"/>
      <c r="E21" s="13"/>
      <c r="F21" s="13"/>
      <c r="G21" s="13"/>
      <c r="H21" s="13"/>
      <c r="I21" s="13"/>
      <c r="J21" s="13"/>
    </row>
    <row r="22" customFormat="false" ht="15" hidden="false" customHeight="false" outlineLevel="0" collapsed="false">
      <c r="A22" s="16"/>
      <c r="B22" s="16"/>
      <c r="C22" s="16"/>
      <c r="D22" s="16"/>
      <c r="E22" s="16"/>
      <c r="F22" s="16"/>
      <c r="G22" s="16"/>
      <c r="H22" s="16"/>
      <c r="I22" s="16"/>
      <c r="J22" s="16"/>
    </row>
    <row r="23" customFormat="false" ht="15" hidden="false" customHeight="false" outlineLevel="0" collapsed="false">
      <c r="A23" s="13"/>
      <c r="B23" s="13"/>
      <c r="C23" s="13"/>
      <c r="D23" s="13"/>
      <c r="E23" s="13"/>
      <c r="F23" s="13"/>
      <c r="G23" s="13"/>
      <c r="H23" s="13"/>
      <c r="I23" s="13"/>
      <c r="J23" s="13"/>
    </row>
    <row r="24" customFormat="false" ht="15" hidden="false" customHeight="false" outlineLevel="0" collapsed="false">
      <c r="A24" s="16"/>
      <c r="B24" s="16"/>
      <c r="C24" s="16"/>
      <c r="D24" s="16"/>
      <c r="E24" s="16"/>
      <c r="F24" s="16"/>
      <c r="G24" s="16"/>
      <c r="H24" s="16"/>
      <c r="I24" s="16"/>
      <c r="J24" s="16"/>
    </row>
    <row r="25" customFormat="false" ht="15" hidden="false" customHeight="false" outlineLevel="0" collapsed="false">
      <c r="A25" s="13"/>
      <c r="B25" s="13"/>
      <c r="C25" s="13"/>
      <c r="D25" s="13"/>
      <c r="E25" s="13"/>
      <c r="F25" s="13"/>
      <c r="G25" s="13"/>
      <c r="H25" s="13"/>
      <c r="I25" s="13"/>
      <c r="J25" s="13"/>
    </row>
    <row r="26" customFormat="false" ht="15" hidden="false" customHeight="false" outlineLevel="0" collapsed="false">
      <c r="A26" s="16"/>
      <c r="B26" s="16"/>
      <c r="C26" s="16"/>
      <c r="D26" s="16"/>
      <c r="E26" s="16"/>
      <c r="F26" s="16"/>
      <c r="G26" s="16"/>
      <c r="H26" s="16"/>
      <c r="I26" s="16"/>
      <c r="J26" s="16"/>
    </row>
    <row r="27" customFormat="false" ht="15" hidden="false" customHeight="false" outlineLevel="0" collapsed="false">
      <c r="A27" s="13"/>
      <c r="B27" s="13"/>
      <c r="C27" s="13"/>
      <c r="D27" s="13"/>
      <c r="E27" s="13"/>
      <c r="F27" s="13"/>
      <c r="G27" s="13"/>
      <c r="H27" s="13"/>
      <c r="I27" s="13"/>
      <c r="J27" s="13"/>
    </row>
    <row r="28" customFormat="false" ht="15" hidden="false" customHeight="false" outlineLevel="0" collapsed="false">
      <c r="A28" s="16"/>
      <c r="B28" s="16"/>
      <c r="C28" s="16"/>
      <c r="D28" s="16"/>
      <c r="E28" s="16"/>
      <c r="F28" s="16"/>
      <c r="G28" s="16"/>
      <c r="H28" s="16"/>
      <c r="I28" s="16"/>
      <c r="J28" s="16"/>
    </row>
    <row r="29" customFormat="false" ht="15" hidden="false" customHeight="false" outlineLevel="0" collapsed="false">
      <c r="A29" s="13"/>
      <c r="B29" s="13"/>
      <c r="C29" s="13"/>
      <c r="D29" s="13"/>
      <c r="E29" s="13"/>
      <c r="F29" s="13"/>
      <c r="G29" s="13"/>
      <c r="H29" s="13"/>
      <c r="I29" s="13"/>
      <c r="J29" s="13"/>
    </row>
  </sheetData>
  <mergeCells count="2">
    <mergeCell ref="A1:H1"/>
    <mergeCell ref="A2:H2"/>
  </mergeCells>
  <dataValidations count="3">
    <dataValidation allowBlank="true" errorStyle="stop" operator="between" showDropDown="false" showErrorMessage="false" showInputMessage="false" sqref="C5:C30" type="list">
      <formula1>"Critical,High,Medium,Low"</formula1>
      <formula2>0</formula2>
    </dataValidation>
    <dataValidation allowBlank="true" errorStyle="stop" operator="between" showDropDown="false" showErrorMessage="false" showInputMessage="false" sqref="D5:D30" type="list">
      <formula1>"P1,P2,P3,P4"</formula1>
      <formula2>0</formula2>
    </dataValidation>
    <dataValidation allowBlank="true" errorStyle="stop" operator="between" showDropDown="false" showErrorMessage="false" showInputMessage="false" sqref="E5:E30" type="list">
      <formula1>"New,Assigned,In Progress,Fixed,Ready for Retest,Closed,Reopened,Deferred"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75"/>
  </cols>
  <sheetData>
    <row r="1" customFormat="false" ht="22.05" hidden="false" customHeight="false" outlineLevel="0" collapsed="false">
      <c r="A1" s="27" t="s">
        <v>795</v>
      </c>
      <c r="B1" s="27"/>
      <c r="C1" s="27"/>
    </row>
    <row r="3" customFormat="false" ht="17.35" hidden="false" customHeight="false" outlineLevel="0" collapsed="false">
      <c r="A3" s="5" t="s">
        <v>191</v>
      </c>
    </row>
    <row r="4" customFormat="false" ht="27.75" hidden="false" customHeight="true" outlineLevel="0" collapsed="false">
      <c r="A4" s="7" t="s">
        <v>796</v>
      </c>
      <c r="B4" s="7" t="s">
        <v>797</v>
      </c>
    </row>
    <row r="5" customFormat="false" ht="15" hidden="false" customHeight="false" outlineLevel="0" collapsed="false">
      <c r="A5" s="8" t="s">
        <v>43</v>
      </c>
      <c r="B5" s="9" t="s">
        <v>798</v>
      </c>
    </row>
    <row r="6" customFormat="false" ht="15" hidden="false" customHeight="false" outlineLevel="0" collapsed="false">
      <c r="A6" s="8" t="s">
        <v>44</v>
      </c>
      <c r="B6" s="9" t="s">
        <v>799</v>
      </c>
    </row>
    <row r="7" customFormat="false" ht="15" hidden="false" customHeight="false" outlineLevel="0" collapsed="false">
      <c r="A7" s="8" t="s">
        <v>45</v>
      </c>
      <c r="B7" s="9" t="s">
        <v>800</v>
      </c>
    </row>
    <row r="8" customFormat="false" ht="15" hidden="false" customHeight="false" outlineLevel="0" collapsed="false">
      <c r="A8" s="8" t="s">
        <v>46</v>
      </c>
      <c r="B8" s="9" t="s">
        <v>801</v>
      </c>
    </row>
    <row r="10" customFormat="false" ht="17.35" hidden="false" customHeight="false" outlineLevel="0" collapsed="false">
      <c r="A10" s="5" t="s">
        <v>192</v>
      </c>
    </row>
    <row r="11" customFormat="false" ht="27.75" hidden="false" customHeight="true" outlineLevel="0" collapsed="false">
      <c r="A11" s="7" t="s">
        <v>796</v>
      </c>
      <c r="B11" s="7" t="s">
        <v>797</v>
      </c>
    </row>
    <row r="12" customFormat="false" ht="15" hidden="false" customHeight="false" outlineLevel="0" collapsed="false">
      <c r="A12" s="8" t="s">
        <v>197</v>
      </c>
      <c r="B12" s="9" t="s">
        <v>802</v>
      </c>
    </row>
    <row r="13" customFormat="false" ht="15" hidden="false" customHeight="false" outlineLevel="0" collapsed="false">
      <c r="A13" s="8" t="s">
        <v>205</v>
      </c>
      <c r="B13" s="9" t="s">
        <v>803</v>
      </c>
    </row>
    <row r="14" customFormat="false" ht="15" hidden="false" customHeight="false" outlineLevel="0" collapsed="false">
      <c r="A14" s="8" t="s">
        <v>216</v>
      </c>
      <c r="B14" s="9" t="s">
        <v>804</v>
      </c>
    </row>
    <row r="16" customFormat="false" ht="17.35" hidden="false" customHeight="false" outlineLevel="0" collapsed="false">
      <c r="A16" s="5" t="s">
        <v>805</v>
      </c>
    </row>
    <row r="17" customFormat="false" ht="27.75" hidden="false" customHeight="true" outlineLevel="0" collapsed="false">
      <c r="A17" s="7" t="s">
        <v>796</v>
      </c>
      <c r="B17" s="7" t="s">
        <v>797</v>
      </c>
    </row>
    <row r="18" customFormat="false" ht="15" hidden="false" customHeight="false" outlineLevel="0" collapsed="false">
      <c r="A18" s="8" t="s">
        <v>761</v>
      </c>
      <c r="B18" s="9" t="s">
        <v>806</v>
      </c>
    </row>
    <row r="19" customFormat="false" ht="15" hidden="false" customHeight="false" outlineLevel="0" collapsed="false">
      <c r="A19" s="8" t="s">
        <v>786</v>
      </c>
      <c r="B19" s="9" t="s">
        <v>807</v>
      </c>
    </row>
    <row r="20" customFormat="false" ht="15" hidden="false" customHeight="false" outlineLevel="0" collapsed="false">
      <c r="A20" s="8" t="s">
        <v>787</v>
      </c>
      <c r="B20" s="9" t="s">
        <v>808</v>
      </c>
    </row>
    <row r="21" customFormat="false" ht="15" hidden="false" customHeight="false" outlineLevel="0" collapsed="false">
      <c r="A21" s="8" t="s">
        <v>50</v>
      </c>
      <c r="B21" s="9" t="s">
        <v>809</v>
      </c>
    </row>
    <row r="22" customFormat="false" ht="15" hidden="false" customHeight="false" outlineLevel="0" collapsed="false">
      <c r="A22" s="8" t="s">
        <v>788</v>
      </c>
      <c r="B22" s="9" t="s">
        <v>810</v>
      </c>
    </row>
    <row r="24" customFormat="false" ht="17.35" hidden="false" customHeight="false" outlineLevel="0" collapsed="false">
      <c r="A24" s="5" t="s">
        <v>811</v>
      </c>
    </row>
    <row r="25" customFormat="false" ht="27.75" hidden="false" customHeight="true" outlineLevel="0" collapsed="false">
      <c r="A25" s="7" t="s">
        <v>796</v>
      </c>
      <c r="B25" s="7" t="s">
        <v>797</v>
      </c>
    </row>
    <row r="26" customFormat="false" ht="15" hidden="false" customHeight="false" outlineLevel="0" collapsed="false">
      <c r="A26" s="8" t="s">
        <v>60</v>
      </c>
      <c r="B26" s="9" t="s">
        <v>812</v>
      </c>
    </row>
    <row r="27" customFormat="false" ht="15" hidden="false" customHeight="false" outlineLevel="0" collapsed="false">
      <c r="A27" s="8" t="s">
        <v>813</v>
      </c>
      <c r="B27" s="9" t="s">
        <v>814</v>
      </c>
    </row>
    <row r="29" customFormat="false" ht="17.35" hidden="false" customHeight="false" outlineLevel="0" collapsed="false">
      <c r="A29" s="5" t="s">
        <v>815</v>
      </c>
    </row>
    <row r="30" customFormat="false" ht="27.75" hidden="false" customHeight="true" outlineLevel="0" collapsed="false">
      <c r="A30" s="7" t="s">
        <v>796</v>
      </c>
      <c r="B30" s="7" t="s">
        <v>797</v>
      </c>
    </row>
    <row r="31" customFormat="false" ht="15" hidden="false" customHeight="false" outlineLevel="0" collapsed="false">
      <c r="A31" s="8" t="s">
        <v>816</v>
      </c>
      <c r="B31" s="9" t="s">
        <v>817</v>
      </c>
    </row>
    <row r="32" customFormat="false" ht="15" hidden="false" customHeight="false" outlineLevel="0" collapsed="false">
      <c r="A32" s="8" t="s">
        <v>818</v>
      </c>
      <c r="B32" s="9" t="s">
        <v>819</v>
      </c>
    </row>
    <row r="33" customFormat="false" ht="15" hidden="false" customHeight="false" outlineLevel="0" collapsed="false">
      <c r="A33" s="8" t="s">
        <v>820</v>
      </c>
      <c r="B33" s="9" t="s">
        <v>821</v>
      </c>
    </row>
    <row r="34" customFormat="false" ht="15" hidden="false" customHeight="false" outlineLevel="0" collapsed="false">
      <c r="A34" s="8" t="s">
        <v>822</v>
      </c>
      <c r="B34" s="9" t="s">
        <v>823</v>
      </c>
    </row>
    <row r="36" customFormat="false" ht="17.35" hidden="false" customHeight="false" outlineLevel="0" collapsed="false">
      <c r="A36" s="5" t="s">
        <v>824</v>
      </c>
    </row>
    <row r="37" customFormat="false" ht="27.75" hidden="false" customHeight="true" outlineLevel="0" collapsed="false">
      <c r="A37" s="7" t="s">
        <v>796</v>
      </c>
      <c r="B37" s="7" t="s">
        <v>797</v>
      </c>
    </row>
    <row r="38" customFormat="false" ht="15" hidden="false" customHeight="false" outlineLevel="0" collapsed="false">
      <c r="A38" s="8" t="s">
        <v>44</v>
      </c>
      <c r="B38" s="9" t="s">
        <v>825</v>
      </c>
    </row>
    <row r="39" customFormat="false" ht="15" hidden="false" customHeight="false" outlineLevel="0" collapsed="false">
      <c r="A39" s="8" t="s">
        <v>45</v>
      </c>
      <c r="B39" s="9" t="s">
        <v>826</v>
      </c>
    </row>
    <row r="40" customFormat="false" ht="15" hidden="false" customHeight="false" outlineLevel="0" collapsed="false">
      <c r="A40" s="8" t="s">
        <v>46</v>
      </c>
      <c r="B40" s="9" t="s">
        <v>827</v>
      </c>
    </row>
    <row r="41" customFormat="false" ht="15" hidden="false" customHeight="false" outlineLevel="0" collapsed="false">
      <c r="A41" s="8" t="s">
        <v>828</v>
      </c>
      <c r="B41" s="9" t="s">
        <v>829</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2026-04-25T07:17:55Z</dcterms:created>
  <dc:creator>openpyxl</dc:creator>
  <dc:description/>
  <dc:language>en-US</dc:language>
  <cp:lastModifiedBy/>
  <dcterms:modified xsi:type="dcterms:W3CDTF">2026-04-25T07:17:55Z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